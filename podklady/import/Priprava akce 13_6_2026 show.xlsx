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05CA2952-2B56-4538-B442-12EDCDA52AF3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D56" i="5" l="1"/>
  <c r="D60" i="5" s="1"/>
  <c r="D56" i="3"/>
  <c r="B56" i="4"/>
  <c r="B58" i="4" s="1"/>
  <c r="C56" i="5"/>
  <c r="C58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56" i="5"/>
  <c r="B58" i="5" s="1"/>
  <c r="D58" i="5"/>
  <c r="D60" i="3"/>
  <c r="D58" i="3"/>
  <c r="C60" i="5" l="1"/>
  <c r="B60" i="4"/>
  <c r="C60" i="3"/>
  <c r="D60" i="4"/>
  <c r="C59" i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l="1"/>
  <c r="D61" i="1" s="1"/>
  <c r="E49" i="1"/>
  <c r="B60" i="1" s="1"/>
  <c r="B61" i="1" s="1"/>
  <c r="D59" i="1" l="1"/>
</calcChain>
</file>

<file path=xl/sharedStrings.xml><?xml version="1.0" encoding="utf-8"?>
<sst xmlns="http://schemas.openxmlformats.org/spreadsheetml/2006/main" count="364" uniqueCount="110">
  <si>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</si>
  <si>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</si>
  <si>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</si>
  <si>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</si>
  <si>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</si>
  <si>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</si>
  <si>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</si>
  <si>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</si>
  <si>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</si>
  <si>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</si>
  <si>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</si>
  <si>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</si>
  <si>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</si>
  <si>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</si>
  <si>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</si>
  <si>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</si>
  <si>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</si>
  <si>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</si>
  <si>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</si>
  <si>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</si>
  <si>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</si>
  <si>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</si>
  <si>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</si>
  <si>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</si>
  <si>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</si>
  <si>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</si>
  <si>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</si>
  <si>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</si>
  <si>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</si>
  <si>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</si>
  <si>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</si>
  <si>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</si>
  <si>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</si>
  <si>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</si>
  <si>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</si>
  <si>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</si>
  <si>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</si>
  <si>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</si>
  <si>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</si>
  <si>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</si>
  <si>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</si>
  <si>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</si>
  <si>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</si>
  <si>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</si>
  <si>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</si>
  <si>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</si>
  <si>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</si>
  <si>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</si>
  <si>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</si>
  <si>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</si>
  <si>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</si>
  <si>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</si>
  <si>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</si>
  <si>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</si>
  <si>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</si>
  <si>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</si>
  <si>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</si>
  <si>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</si>
  <si>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</si>
  <si>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</si>
  <si>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</si>
  <si>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</si>
  <si>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</si>
  <si>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</si>
  <si>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</si>
  <si>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</si>
  <si>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</si>
  <si>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</si>
  <si>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</si>
  <si>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PIAST-TOURIST</t>
  </si>
  <si>
    <t>tradice</t>
  </si>
  <si>
    <t>neomezeně</t>
  </si>
  <si>
    <t>Polsko</t>
  </si>
  <si>
    <t>x</t>
  </si>
  <si>
    <t>900 Kč/os, proforma</t>
  </si>
  <si>
    <t>tradice - upřesnit</t>
  </si>
  <si>
    <t>1 drink</t>
  </si>
  <si>
    <t>rezervace dne 9/1 K</t>
  </si>
  <si>
    <t>4-GTS  
06ESEE1506/26EK</t>
  </si>
  <si>
    <t>34 eur/os, fa</t>
  </si>
  <si>
    <t>Chodov Tour, sk. PTTK</t>
  </si>
  <si>
    <t>X</t>
  </si>
  <si>
    <t>FA</t>
  </si>
  <si>
    <t>rezervace dne 14/1 K, potvrzeno dne 6/3 K</t>
  </si>
  <si>
    <t>Fun in Prague</t>
  </si>
  <si>
    <t>Ve smečkách 2091/24</t>
  </si>
  <si>
    <t>Patricia Vos</t>
  </si>
  <si>
    <t>5x tradice</t>
  </si>
  <si>
    <t>fa</t>
  </si>
  <si>
    <t>Rezervace 6/3 D</t>
  </si>
  <si>
    <t>18:30 - 19:00</t>
  </si>
  <si>
    <t>Chodov Tour, sk. UNIT</t>
  </si>
  <si>
    <t>Rezervace 11/3 D</t>
  </si>
  <si>
    <t>Rapid travel</t>
  </si>
  <si>
    <t>upresnit</t>
  </si>
  <si>
    <t>900 Kč/os PROFORMA</t>
  </si>
  <si>
    <t>rezervace 12/3 V</t>
  </si>
  <si>
    <t>polsat proformu květen</t>
  </si>
  <si>
    <t>Chodov Tour, s. PL Travel</t>
  </si>
  <si>
    <t>rezervace dne 13/3</t>
  </si>
  <si>
    <t>Antalek</t>
  </si>
  <si>
    <t>900 Kč/os proforma</t>
  </si>
  <si>
    <t>rezeravce 23/3 bude? V</t>
  </si>
  <si>
    <t>Karkonosze Biuro</t>
  </si>
  <si>
    <t>900 Kč/os. Proforma</t>
  </si>
  <si>
    <t>rezervace dne 26/3</t>
  </si>
  <si>
    <t>Fangshin Chen</t>
  </si>
  <si>
    <t>5x kuře</t>
  </si>
  <si>
    <t>rezervace 3/4 T</t>
  </si>
  <si>
    <t>potvrzeno 7/4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</si>
</sst>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2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3" fillId="20" borderId="21" xfId="1" applyFont="1" applyFill="1" applyBorder="1" applyAlignment="1">
      <alignment horizontal="left" vertical="center" wrapText="1"/>
    </xf>
    <xf numFmtId="20" fontId="3" fillId="21" borderId="9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9" activePane="bottomLeft" state="frozen"/>
      <selection pane="bottomLeft" activeCell="P13" sqref="P13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7" ht="18" customHeight="1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7" ht="18" customHeight="1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7" ht="15.75" thickBot="1" x14ac:dyDescent="0.3">
      <c r="A4" s="260" t="s">
        <v>64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7" ht="15.75" hidden="1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ht="51.75" x14ac:dyDescent="0.25">
      <c r="A10" s="105" t="s">
        <v>69</v>
      </c>
      <c r="B10" s="106"/>
      <c r="C10" s="107"/>
      <c r="D10" s="107">
        <v>56</v>
      </c>
      <c r="E10" s="107">
        <v>2</v>
      </c>
      <c r="F10" s="107"/>
      <c r="G10" s="107"/>
      <c r="H10" s="107"/>
      <c r="I10" s="107"/>
      <c r="J10" s="107" t="s">
        <v>70</v>
      </c>
      <c r="K10" s="128" t="s">
        <v>71</v>
      </c>
      <c r="L10" s="107" t="s">
        <v>72</v>
      </c>
      <c r="M10" s="106" t="s">
        <v>74</v>
      </c>
      <c r="N10" s="129" t="s">
        <v>73</v>
      </c>
      <c r="O10" s="129"/>
      <c r="P10" s="249" t="s">
        <v>83</v>
      </c>
      <c r="Q10" s="6"/>
    </row>
    <row r="11" spans="1:17" ht="38.25" x14ac:dyDescent="0.25">
      <c r="A11" s="105" t="s">
        <v>78</v>
      </c>
      <c r="B11" s="101"/>
      <c r="C11" s="102"/>
      <c r="D11" s="102">
        <v>25</v>
      </c>
      <c r="E11" s="102"/>
      <c r="F11" s="102"/>
      <c r="G11" s="102"/>
      <c r="H11" s="102"/>
      <c r="I11" s="102"/>
      <c r="J11" s="107" t="s">
        <v>75</v>
      </c>
      <c r="K11" s="128" t="s">
        <v>76</v>
      </c>
      <c r="L11" s="102"/>
      <c r="M11" s="101" t="s">
        <v>79</v>
      </c>
      <c r="N11" s="103" t="s">
        <v>73</v>
      </c>
      <c r="O11" s="129"/>
      <c r="P11" s="249" t="s">
        <v>77</v>
      </c>
    </row>
    <row r="12" spans="1:17" ht="26.25" x14ac:dyDescent="0.25">
      <c r="A12" s="250" t="s">
        <v>80</v>
      </c>
      <c r="B12" s="101" t="s">
        <v>81</v>
      </c>
      <c r="C12" s="102"/>
      <c r="D12" s="102">
        <v>70</v>
      </c>
      <c r="E12" s="102">
        <v>2</v>
      </c>
      <c r="F12" s="102"/>
      <c r="G12" s="102"/>
      <c r="H12" s="102"/>
      <c r="I12" s="102"/>
      <c r="J12" s="107" t="s">
        <v>70</v>
      </c>
      <c r="K12" s="128" t="s">
        <v>71</v>
      </c>
      <c r="L12" s="107" t="s">
        <v>72</v>
      </c>
      <c r="M12" s="101" t="s">
        <v>82</v>
      </c>
      <c r="N12" s="103" t="s">
        <v>81</v>
      </c>
      <c r="O12" s="103"/>
      <c r="P12" s="104" t="s">
        <v>109</v>
      </c>
    </row>
    <row r="13" spans="1:17" ht="26.25" customHeight="1" x14ac:dyDescent="0.25">
      <c r="A13" s="110" t="s">
        <v>91</v>
      </c>
      <c r="B13" s="101" t="s">
        <v>81</v>
      </c>
      <c r="C13" s="102"/>
      <c r="D13" s="102">
        <v>21</v>
      </c>
      <c r="E13" s="102"/>
      <c r="F13" s="102"/>
      <c r="G13" s="102"/>
      <c r="H13" s="102"/>
      <c r="I13" s="102"/>
      <c r="J13" s="107" t="s">
        <v>70</v>
      </c>
      <c r="K13" s="128" t="s">
        <v>71</v>
      </c>
      <c r="L13" s="107" t="s">
        <v>72</v>
      </c>
      <c r="M13" s="101" t="s">
        <v>82</v>
      </c>
      <c r="N13" s="103" t="s">
        <v>81</v>
      </c>
      <c r="O13" s="103"/>
      <c r="P13" s="104" t="s">
        <v>92</v>
      </c>
    </row>
    <row r="14" spans="1:17" ht="26.25" customHeight="1" x14ac:dyDescent="0.25">
      <c r="A14" s="250" t="s">
        <v>84</v>
      </c>
      <c r="B14" s="101" t="s">
        <v>85</v>
      </c>
      <c r="C14" s="102" t="s">
        <v>86</v>
      </c>
      <c r="D14" s="102">
        <v>5</v>
      </c>
      <c r="E14" s="102"/>
      <c r="F14" s="102"/>
      <c r="G14" s="102"/>
      <c r="H14" s="102"/>
      <c r="I14" s="102"/>
      <c r="J14" s="102" t="s">
        <v>87</v>
      </c>
      <c r="K14" s="128" t="s">
        <v>71</v>
      </c>
      <c r="L14" s="102"/>
      <c r="M14" s="101" t="s">
        <v>88</v>
      </c>
      <c r="N14" s="251" t="s">
        <v>90</v>
      </c>
      <c r="O14" s="103"/>
      <c r="P14" s="104" t="s">
        <v>89</v>
      </c>
    </row>
    <row r="15" spans="1:17" ht="38.25" x14ac:dyDescent="0.25">
      <c r="A15" s="110" t="s">
        <v>93</v>
      </c>
      <c r="B15" s="101"/>
      <c r="C15" s="102"/>
      <c r="D15" s="102">
        <v>50</v>
      </c>
      <c r="E15" s="102"/>
      <c r="F15" s="102"/>
      <c r="G15" s="102"/>
      <c r="H15" s="102"/>
      <c r="I15" s="102"/>
      <c r="J15" s="102" t="s">
        <v>94</v>
      </c>
      <c r="K15" s="102" t="s">
        <v>71</v>
      </c>
      <c r="L15" s="102" t="s">
        <v>72</v>
      </c>
      <c r="M15" s="101" t="s">
        <v>95</v>
      </c>
      <c r="N15" s="103" t="s">
        <v>73</v>
      </c>
      <c r="O15" s="103" t="s">
        <v>97</v>
      </c>
      <c r="P15" s="104" t="s">
        <v>96</v>
      </c>
    </row>
    <row r="16" spans="1:17" ht="26.25" x14ac:dyDescent="0.25">
      <c r="A16" s="111" t="s">
        <v>98</v>
      </c>
      <c r="B16" s="101" t="s">
        <v>73</v>
      </c>
      <c r="C16" s="102"/>
      <c r="D16" s="102">
        <v>50</v>
      </c>
      <c r="E16" s="102"/>
      <c r="F16" s="102"/>
      <c r="G16" s="102"/>
      <c r="H16" s="102"/>
      <c r="I16" s="102"/>
      <c r="J16" s="107" t="s">
        <v>70</v>
      </c>
      <c r="K16" s="128" t="s">
        <v>71</v>
      </c>
      <c r="L16" s="107" t="s">
        <v>72</v>
      </c>
      <c r="M16" s="101" t="s">
        <v>82</v>
      </c>
      <c r="N16" s="103" t="s">
        <v>73</v>
      </c>
      <c r="O16" s="103"/>
      <c r="P16" s="104" t="s">
        <v>99</v>
      </c>
    </row>
    <row r="17" spans="1:17" ht="26.25" x14ac:dyDescent="0.25">
      <c r="A17" s="111" t="s">
        <v>100</v>
      </c>
      <c r="B17" s="101"/>
      <c r="C17" s="102"/>
      <c r="D17" s="102">
        <v>60</v>
      </c>
      <c r="E17" s="102"/>
      <c r="F17" s="102"/>
      <c r="G17" s="102"/>
      <c r="H17" s="102"/>
      <c r="I17" s="102"/>
      <c r="J17" s="107" t="s">
        <v>70</v>
      </c>
      <c r="K17" s="128" t="s">
        <v>71</v>
      </c>
      <c r="L17" s="102"/>
      <c r="M17" s="101" t="s">
        <v>101</v>
      </c>
      <c r="N17" s="103"/>
      <c r="O17" s="103"/>
      <c r="P17" s="104" t="s">
        <v>102</v>
      </c>
    </row>
    <row r="18" spans="1:17" ht="26.25" x14ac:dyDescent="0.25">
      <c r="A18" s="111" t="s">
        <v>103</v>
      </c>
      <c r="B18" s="101" t="s">
        <v>73</v>
      </c>
      <c r="C18" s="102"/>
      <c r="D18" s="102">
        <v>50</v>
      </c>
      <c r="E18" s="102">
        <v>2</v>
      </c>
      <c r="F18" s="102"/>
      <c r="G18" s="102"/>
      <c r="H18" s="102"/>
      <c r="I18" s="102"/>
      <c r="J18" s="107" t="s">
        <v>70</v>
      </c>
      <c r="K18" s="128" t="s">
        <v>71</v>
      </c>
      <c r="L18" s="107" t="s">
        <v>72</v>
      </c>
      <c r="M18" s="101" t="s">
        <v>104</v>
      </c>
      <c r="N18" s="103" t="s">
        <v>73</v>
      </c>
      <c r="O18" s="103"/>
      <c r="P18" s="112" t="s">
        <v>105</v>
      </c>
    </row>
    <row r="19" spans="1:17" ht="25.5" x14ac:dyDescent="0.25">
      <c r="A19" s="111" t="s">
        <v>84</v>
      </c>
      <c r="B19" s="101" t="s">
        <v>73</v>
      </c>
      <c r="C19" s="102" t="s">
        <v>106</v>
      </c>
      <c r="D19" s="102">
        <v>5</v>
      </c>
      <c r="E19" s="102"/>
      <c r="F19" s="102"/>
      <c r="G19" s="102"/>
      <c r="H19" s="102"/>
      <c r="I19" s="102"/>
      <c r="J19" s="102" t="s">
        <v>107</v>
      </c>
      <c r="K19" s="102" t="s">
        <v>71</v>
      </c>
      <c r="L19" s="102"/>
      <c r="M19" s="101" t="s">
        <v>88</v>
      </c>
      <c r="N19" s="103" t="s">
        <v>73</v>
      </c>
      <c r="O19" s="103"/>
      <c r="P19" s="112" t="s">
        <v>108</v>
      </c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15.75" thickBot="1" x14ac:dyDescent="0.3">
      <c r="A23" s="144"/>
      <c r="B23" s="145"/>
      <c r="C23" s="146"/>
      <c r="D23" s="147"/>
      <c r="E23" s="147"/>
      <c r="F23" s="147"/>
      <c r="G23" s="148"/>
      <c r="H23" s="148"/>
      <c r="I23" s="149"/>
      <c r="J23" s="147"/>
      <c r="K23" s="147"/>
      <c r="L23" s="147"/>
      <c r="M23" s="147"/>
      <c r="N23" s="150"/>
      <c r="O23" s="150"/>
      <c r="P23" s="151"/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x14ac:dyDescent="0.25">
      <c r="A25" s="139"/>
      <c r="B25" s="127"/>
      <c r="C25" s="140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30"/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SUM(D9:D35)</f>
        <v>392</v>
      </c>
      <c r="E36" s="174">
        <f>SUM(E9:E35)</f>
        <v>6</v>
      </c>
      <c r="F36" s="175"/>
      <c r="G36" s="176">
        <f>SUM(G9:G35)</f>
        <v>0</v>
      </c>
      <c r="H36" s="172">
        <f>SUM(H9:H35)</f>
        <v>0</v>
      </c>
      <c r="I36" s="173">
        <f>SUM(I9:I35)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2" t="s">
        <v>41</v>
      </c>
      <c r="D38" s="283"/>
      <c r="E38" s="287" t="s">
        <v>45</v>
      </c>
      <c r="F38" s="288"/>
      <c r="G38" s="289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261"/>
      <c r="D39" s="261"/>
      <c r="E39" s="290">
        <v>0</v>
      </c>
      <c r="F39" s="291"/>
      <c r="G39" s="292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255"/>
      <c r="D40" s="255"/>
      <c r="E40" s="290">
        <v>0</v>
      </c>
      <c r="F40" s="291"/>
      <c r="G40" s="292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256"/>
      <c r="D41" s="256"/>
      <c r="E41" s="290">
        <v>0</v>
      </c>
      <c r="F41" s="291"/>
      <c r="G41" s="292"/>
      <c r="H41" s="61"/>
      <c r="I41" s="293"/>
      <c r="J41" s="293"/>
      <c r="K41" s="293"/>
      <c r="L41" s="293"/>
      <c r="M41" s="293"/>
      <c r="N41" s="293"/>
      <c r="O41" s="293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255"/>
      <c r="D42" s="255"/>
      <c r="E42" s="290">
        <v>0</v>
      </c>
      <c r="F42" s="291"/>
      <c r="G42" s="292"/>
      <c r="H42" s="61"/>
      <c r="I42" s="294"/>
      <c r="J42" s="294"/>
      <c r="K42" s="294"/>
      <c r="L42" s="294"/>
      <c r="M42" s="294"/>
      <c r="N42" s="294"/>
      <c r="O42" s="294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79"/>
      <c r="D43" s="281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  <c r="R43" s="274"/>
      <c r="S43" s="274"/>
      <c r="T43" s="274"/>
      <c r="U43" s="274"/>
      <c r="V43" s="274"/>
      <c r="W43" s="274"/>
      <c r="X43" s="274"/>
      <c r="Y43" s="274"/>
    </row>
    <row r="44" spans="1:25" ht="43.5" customHeight="1" x14ac:dyDescent="0.25">
      <c r="A44" s="186" t="s">
        <v>40</v>
      </c>
      <c r="B44" s="10"/>
      <c r="C44" s="279"/>
      <c r="D44" s="280"/>
      <c r="E44" s="295"/>
      <c r="F44" s="296"/>
      <c r="G44" s="297"/>
      <c r="H44" s="61"/>
      <c r="I44" s="294"/>
      <c r="J44" s="294"/>
      <c r="K44" s="294"/>
      <c r="L44" s="294"/>
      <c r="M44" s="294"/>
      <c r="N44" s="294"/>
      <c r="O44" s="294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77"/>
      <c r="D45" s="278"/>
      <c r="E45" s="295"/>
      <c r="F45" s="296"/>
      <c r="G45" s="297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273"/>
    </row>
    <row r="46" spans="1:25" x14ac:dyDescent="0.25">
      <c r="A46" s="186" t="s">
        <v>43</v>
      </c>
      <c r="B46" s="10"/>
      <c r="C46" s="252"/>
      <c r="D46" s="252"/>
      <c r="E46" s="290">
        <f>M53</f>
        <v>0</v>
      </c>
      <c r="F46" s="291"/>
      <c r="G46" s="292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273"/>
    </row>
    <row r="47" spans="1:25" x14ac:dyDescent="0.25">
      <c r="A47" s="186" t="s">
        <v>19</v>
      </c>
      <c r="B47" s="10"/>
      <c r="C47" s="253"/>
      <c r="D47" s="253"/>
      <c r="E47" s="290">
        <f t="shared" ref="E47:E48" si="0">M54</f>
        <v>0</v>
      </c>
      <c r="F47" s="291"/>
      <c r="G47" s="292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273"/>
    </row>
    <row r="48" spans="1:25" ht="15.75" thickBot="1" x14ac:dyDescent="0.3">
      <c r="A48" s="187" t="s">
        <v>44</v>
      </c>
      <c r="B48" s="11"/>
      <c r="C48" s="254"/>
      <c r="D48" s="254"/>
      <c r="E48" s="300">
        <f t="shared" si="0"/>
        <v>0</v>
      </c>
      <c r="F48" s="301"/>
      <c r="G48" s="302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273"/>
    </row>
    <row r="49" spans="1:27" ht="24" customHeight="1" thickBot="1" x14ac:dyDescent="0.3">
      <c r="A49" s="65"/>
      <c r="B49" s="65"/>
      <c r="C49" s="65"/>
      <c r="D49" s="206" t="s">
        <v>46</v>
      </c>
      <c r="E49" s="303">
        <f>SUM(E39:E48)</f>
        <v>0</v>
      </c>
      <c r="F49" s="304"/>
      <c r="G49" s="305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309" t="s">
        <v>57</v>
      </c>
      <c r="G51" s="310"/>
      <c r="H51" s="310"/>
      <c r="I51" s="310"/>
      <c r="J51" s="310"/>
      <c r="K51" s="310"/>
      <c r="L51" s="310"/>
      <c r="M51" s="311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306"/>
      <c r="V52" s="306"/>
      <c r="W52" s="306"/>
      <c r="X52" s="306"/>
      <c r="Y52" s="306"/>
      <c r="Z52" s="306"/>
      <c r="AA52" s="306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312"/>
      <c r="N53" s="16"/>
      <c r="O53" s="16"/>
      <c r="P53" s="16"/>
      <c r="Q53" s="19"/>
      <c r="R53" s="20"/>
      <c r="S53" s="19"/>
      <c r="U53" s="307"/>
      <c r="V53" s="307"/>
      <c r="W53" s="307"/>
      <c r="X53" s="307"/>
      <c r="Y53" s="307"/>
      <c r="Z53" s="307"/>
      <c r="AA53" s="307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313"/>
      <c r="N54" s="26"/>
      <c r="O54" s="26"/>
      <c r="P54" s="26"/>
      <c r="Q54" s="19"/>
      <c r="R54" s="20"/>
      <c r="S54" s="19"/>
      <c r="U54" s="307"/>
      <c r="V54" s="307"/>
      <c r="W54" s="307"/>
      <c r="X54" s="307"/>
      <c r="Y54" s="307"/>
      <c r="Z54" s="307"/>
      <c r="AA54" s="307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314"/>
      <c r="N55" s="34"/>
      <c r="O55" s="308"/>
      <c r="P55" s="308"/>
      <c r="Q55" s="19"/>
      <c r="R55" s="20"/>
      <c r="S55" s="19"/>
      <c r="U55" s="307"/>
      <c r="V55" s="307"/>
      <c r="W55" s="307"/>
      <c r="X55" s="307"/>
      <c r="Y55" s="307"/>
      <c r="Z55" s="307"/>
      <c r="AA55" s="307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314"/>
      <c r="N56" s="34"/>
      <c r="O56" s="308"/>
      <c r="P56" s="308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J1:L1"/>
    <mergeCell ref="M1:N1"/>
    <mergeCell ref="O1:P1"/>
    <mergeCell ref="O2:P2"/>
    <mergeCell ref="Y47:Y48"/>
    <mergeCell ref="Y45:Y46"/>
    <mergeCell ref="R43:Y43"/>
    <mergeCell ref="E2:G2"/>
    <mergeCell ref="A4:P5"/>
    <mergeCell ref="C39:D39"/>
    <mergeCell ref="O3:P3"/>
    <mergeCell ref="M3:N3"/>
    <mergeCell ref="C46:D46"/>
    <mergeCell ref="C47:D47"/>
    <mergeCell ref="C48:D48"/>
    <mergeCell ref="C40:D40"/>
    <mergeCell ref="C41:D41"/>
    <mergeCell ref="C42:D42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34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68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67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5"/>
      <c r="C1" s="316"/>
      <c r="D1" s="226" t="s">
        <v>62</v>
      </c>
      <c r="E1" s="227"/>
      <c r="F1" s="228"/>
      <c r="G1" s="229"/>
      <c r="H1" s="317"/>
      <c r="I1" s="318"/>
      <c r="J1" s="318"/>
      <c r="K1" s="319"/>
      <c r="L1" s="319"/>
      <c r="M1" s="320"/>
      <c r="N1" s="319"/>
      <c r="O1" s="321"/>
      <c r="P1" s="321"/>
    </row>
    <row r="2" spans="1:16" ht="15.75" thickBot="1" x14ac:dyDescent="0.3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</row>
    <row r="3" spans="1:16" ht="15.75" hidden="1" thickBot="1" x14ac:dyDescent="0.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2026-04-07T11:26:22Z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