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AF7ADB7B-DD01-4FF4-ABF8-8CDA339F5BD6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7" i="1"/>
  <c r="C57" i="1"/>
  <c r="B57" i="1"/>
  <c r="C58" i="1"/>
  <c r="B58" i="1"/>
  <c r="D56" i="1"/>
  <c r="C56" i="1"/>
  <c r="B56" i="1"/>
  <c r="I38" i="1"/>
  <c r="C55" i="1" s="1"/>
  <c r="B56" i="4" l="1"/>
  <c r="B58" i="4" s="1"/>
  <c r="C56" i="5"/>
  <c r="C58" i="5" s="1"/>
  <c r="D56" i="4"/>
  <c r="D58" i="4" s="1"/>
  <c r="C59" i="1"/>
  <c r="C63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61" i="1" l="1"/>
  <c r="B60" i="3"/>
  <c r="C60" i="4"/>
  <c r="B60" i="5"/>
  <c r="E48" i="1"/>
  <c r="D58" i="1"/>
  <c r="E49" i="1"/>
  <c r="E50" i="1"/>
  <c r="E38" i="1"/>
  <c r="D38" i="1"/>
  <c r="H38" i="1"/>
  <c r="B55" i="1" s="1"/>
  <c r="B59" i="1" s="1"/>
  <c r="B61" i="1" s="1"/>
  <c r="G38" i="1"/>
  <c r="D55" i="1" s="1"/>
  <c r="D59" i="1" l="1"/>
  <c r="E51" i="1"/>
  <c r="B62" i="1" s="1"/>
  <c r="B63" i="1" s="1"/>
  <c r="D63" i="1"/>
  <c r="D61" i="1"/>
</calcChain>
</file>

<file path=xl/sharedStrings.xml><?xml version="1.0" encoding="utf-8"?>
<sst xmlns="http://schemas.openxmlformats.org/spreadsheetml/2006/main" count="312" uniqueCount="84">
  <si>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</si>
  <si>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</si>
  <si>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</si>
  <si>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</si>
  <si>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</si>
  <si>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</si>
  <si>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</si>
  <si>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</si>
  <si>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</si>
  <si>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</si>
  <si>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</si>
  <si>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</si>
  <si>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</si>
  <si>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</si>
  <si>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</si>
  <si>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</si>
  <si>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</si>
  <si>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</si>
  <si>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</si>
  <si>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</si>
  <si>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</si>
  <si>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</si>
  <si>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</si>
  <si>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</si>
  <si>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</si>
  <si>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</si>
  <si>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</si>
  <si>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</si>
  <si>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</si>
  <si>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</si>
  <si>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</si>
  <si>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</si>
  <si>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</si>
  <si>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</si>
  <si>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</si>
  <si>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</si>
  <si>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</si>
  <si>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</si>
  <si>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</si>
  <si>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</si>
  <si>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</si>
  <si>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</si>
  <si>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</si>
  <si>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</si>
  <si>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</si>
  <si>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</si>
  <si>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</si>
  <si>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</si>
  <si>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</si>
  <si>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</si>
  <si>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</si>
  <si>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</si>
  <si>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</si>
  <si>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</si>
  <si>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</si>
  <si>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</si>
  <si>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</si>
  <si>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</si>
  <si>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</si>
  <si>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</si>
  <si>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</si>
  <si>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</si>
  <si>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</si>
  <si>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</si>
  <si>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</si>
  <si>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</si>
  <si>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</si>
  <si>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</si>
  <si>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</si>
  <si>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</si>
  <si>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</si>
  <si>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</si>
  <si>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MCD290526</t>
  </si>
  <si>
    <t>880 Kč / os, fa</t>
  </si>
  <si>
    <t>x</t>
  </si>
  <si>
    <t>rezervace 20/11</t>
  </si>
  <si>
    <t>DZK</t>
  </si>
  <si>
    <t>Vincent Roudaut</t>
  </si>
  <si>
    <t>neomezeně</t>
  </si>
  <si>
    <t>Liberty</t>
  </si>
  <si>
    <t>fa, 900 Kč/os. Nebo PRIVÁTKA KOVÁRNA 1200Kč/os od  50 platících</t>
  </si>
  <si>
    <t>poptávka ze dne 5/1, storno dne 4/3 K</t>
  </si>
  <si>
    <t>rezervace 29/9 potvrzeno 18/3 T</t>
  </si>
  <si>
    <t>Gemma WhatsApp 0064 210 904 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</si>
</sst>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2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windowProtection="1" tabSelected="1" zoomScaleNormal="100" workbookViewId="0">
      <pane ySplit="6" topLeftCell="A7" activePane="bottomLeft" state="frozen"/>
      <selection pane="bottomLeft" activeCell="C11" sqref="C11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7" ht="18" customHeight="1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7" ht="18" customHeight="1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7" ht="15.75" thickBot="1" x14ac:dyDescent="0.3">
      <c r="A4" s="305" t="s">
        <v>64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7" ht="15.75" hidden="1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ht="64.5" customHeight="1" x14ac:dyDescent="0.25">
      <c r="A10" s="135" t="s">
        <v>76</v>
      </c>
      <c r="B10" s="136" t="s">
        <v>74</v>
      </c>
      <c r="C10" s="136" t="s">
        <v>77</v>
      </c>
      <c r="D10" s="136"/>
      <c r="E10" s="136"/>
      <c r="F10" s="136"/>
      <c r="G10" s="136"/>
      <c r="H10" s="136"/>
      <c r="I10" s="136"/>
      <c r="J10" s="136" t="s">
        <v>69</v>
      </c>
      <c r="K10" s="102" t="s">
        <v>78</v>
      </c>
      <c r="L10" s="136"/>
      <c r="M10" s="136" t="s">
        <v>80</v>
      </c>
      <c r="N10" s="103" t="s">
        <v>74</v>
      </c>
      <c r="O10" s="115"/>
      <c r="P10" s="138" t="s">
        <v>81</v>
      </c>
      <c r="Q10" s="2"/>
    </row>
    <row r="11" spans="1:17" s="1" customFormat="1" ht="127.5" x14ac:dyDescent="0.25">
      <c r="A11" s="105" t="s">
        <v>72</v>
      </c>
      <c r="B11" s="101" t="s">
        <v>69</v>
      </c>
      <c r="C11" s="249" t="s">
        <v>83</v>
      </c>
      <c r="D11" s="249">
        <v>20</v>
      </c>
      <c r="E11" s="249"/>
      <c r="F11" s="249"/>
      <c r="G11" s="249"/>
      <c r="H11" s="249"/>
      <c r="I11" s="249"/>
      <c r="J11" s="249" t="s">
        <v>69</v>
      </c>
      <c r="K11" s="250" t="s">
        <v>69</v>
      </c>
      <c r="L11" s="249"/>
      <c r="M11" s="101" t="s">
        <v>70</v>
      </c>
      <c r="N11" s="129">
        <v>0.79166666666666663</v>
      </c>
      <c r="O11" s="129" t="s">
        <v>71</v>
      </c>
      <c r="P11" s="251" t="s">
        <v>82</v>
      </c>
      <c r="Q11" s="6"/>
    </row>
    <row r="12" spans="1:17" ht="26.25" x14ac:dyDescent="0.25">
      <c r="A12" s="105" t="s">
        <v>79</v>
      </c>
      <c r="B12" s="101"/>
      <c r="C12" s="102"/>
      <c r="D12" s="102">
        <v>30</v>
      </c>
      <c r="E12" s="102">
        <v>2</v>
      </c>
      <c r="F12" s="102"/>
      <c r="G12" s="102"/>
      <c r="H12" s="102"/>
      <c r="I12" s="102"/>
      <c r="J12" s="107" t="s">
        <v>69</v>
      </c>
      <c r="K12" s="128" t="s">
        <v>69</v>
      </c>
      <c r="L12" s="102"/>
      <c r="M12" s="101" t="s">
        <v>73</v>
      </c>
      <c r="N12" s="103" t="s">
        <v>74</v>
      </c>
      <c r="O12" s="129"/>
      <c r="P12" s="248" t="s">
        <v>75</v>
      </c>
    </row>
    <row r="13" spans="1:17" s="1" customFormat="1" x14ac:dyDescent="0.25">
      <c r="A13" s="105"/>
      <c r="B13" s="106"/>
      <c r="C13" s="107"/>
      <c r="D13" s="107"/>
      <c r="E13" s="107"/>
      <c r="F13" s="107"/>
      <c r="G13" s="107"/>
      <c r="H13" s="107"/>
      <c r="I13" s="107"/>
      <c r="J13" s="107"/>
      <c r="K13" s="128"/>
      <c r="L13" s="107"/>
      <c r="M13" s="106"/>
      <c r="N13" s="129"/>
      <c r="O13" s="129"/>
      <c r="P13" s="248"/>
      <c r="Q13" s="6"/>
    </row>
    <row r="14" spans="1:17" x14ac:dyDescent="0.25">
      <c r="A14" s="105"/>
      <c r="B14" s="101"/>
      <c r="C14" s="102"/>
      <c r="D14" s="102"/>
      <c r="E14" s="102"/>
      <c r="F14" s="102"/>
      <c r="G14" s="102"/>
      <c r="H14" s="102"/>
      <c r="I14" s="102"/>
      <c r="J14" s="107"/>
      <c r="K14" s="128"/>
      <c r="L14" s="102"/>
      <c r="M14" s="101"/>
      <c r="N14" s="103"/>
      <c r="O14" s="129"/>
      <c r="P14" s="248"/>
    </row>
    <row r="15" spans="1:17" x14ac:dyDescent="0.25">
      <c r="A15" s="110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0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0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04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04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x14ac:dyDescent="0.25">
      <c r="A21" s="111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1"/>
      <c r="N21" s="103"/>
      <c r="O21" s="103"/>
      <c r="P21" s="112"/>
    </row>
    <row r="22" spans="1:17" x14ac:dyDescent="0.25">
      <c r="A22" s="111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1"/>
      <c r="N22" s="103"/>
      <c r="O22" s="103"/>
      <c r="P22" s="112"/>
    </row>
    <row r="23" spans="1:17" ht="15.75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7"/>
      <c r="O23" s="137"/>
      <c r="P23" s="138"/>
      <c r="Q23" s="2"/>
    </row>
    <row r="24" spans="1:17" s="3" customFormat="1" ht="16.5" customHeight="1" thickBot="1" x14ac:dyDescent="0.3">
      <c r="A24" s="143"/>
      <c r="B24" s="132"/>
      <c r="C24" s="132"/>
      <c r="D24" s="132"/>
      <c r="E24" s="132"/>
      <c r="F24" s="132"/>
      <c r="G24" s="133" t="s">
        <v>15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ht="15.75" thickBot="1" x14ac:dyDescent="0.3">
      <c r="A25" s="144"/>
      <c r="B25" s="145"/>
      <c r="C25" s="146"/>
      <c r="D25" s="147"/>
      <c r="E25" s="147"/>
      <c r="F25" s="147"/>
      <c r="G25" s="148"/>
      <c r="H25" s="148"/>
      <c r="I25" s="149"/>
      <c r="J25" s="147"/>
      <c r="K25" s="147"/>
      <c r="L25" s="147"/>
      <c r="M25" s="147"/>
      <c r="N25" s="150"/>
      <c r="O25" s="150"/>
      <c r="P25" s="151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16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s="3" customFormat="1" x14ac:dyDescent="0.25">
      <c r="A27" s="139"/>
      <c r="B27" s="127"/>
      <c r="C27" s="140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30"/>
    </row>
    <row r="28" spans="1:17" ht="15.75" thickBot="1" x14ac:dyDescent="0.3">
      <c r="A28" s="152"/>
      <c r="B28" s="153"/>
      <c r="C28" s="154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6"/>
    </row>
    <row r="29" spans="1:17" ht="15.75" thickBot="1" x14ac:dyDescent="0.3">
      <c r="A29" s="143"/>
      <c r="B29" s="132"/>
      <c r="C29" s="132"/>
      <c r="D29" s="132"/>
      <c r="E29" s="132"/>
      <c r="F29" s="132"/>
      <c r="G29" s="133" t="s">
        <v>17</v>
      </c>
      <c r="H29" s="132"/>
      <c r="I29" s="132"/>
      <c r="J29" s="132"/>
      <c r="K29" s="132"/>
      <c r="L29" s="132"/>
      <c r="M29" s="132"/>
      <c r="N29" s="132"/>
      <c r="O29" s="132"/>
      <c r="P29" s="134"/>
    </row>
    <row r="30" spans="1:17" x14ac:dyDescent="0.25">
      <c r="A30" s="139"/>
      <c r="B30" s="127"/>
      <c r="C30" s="157"/>
      <c r="D30" s="158"/>
      <c r="E30" s="128"/>
      <c r="F30" s="128"/>
      <c r="G30" s="141"/>
      <c r="H30" s="141"/>
      <c r="I30" s="142"/>
      <c r="J30" s="128"/>
      <c r="K30" s="128"/>
      <c r="L30" s="158"/>
      <c r="M30" s="158"/>
      <c r="N30" s="158"/>
      <c r="O30" s="158"/>
      <c r="P30" s="159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x14ac:dyDescent="0.25">
      <c r="A34" s="111"/>
      <c r="B34" s="101"/>
      <c r="C34" s="120"/>
      <c r="D34" s="121"/>
      <c r="E34" s="102"/>
      <c r="F34" s="102"/>
      <c r="G34" s="117"/>
      <c r="H34" s="117"/>
      <c r="I34" s="118"/>
      <c r="J34" s="102"/>
      <c r="K34" s="102"/>
      <c r="L34" s="121"/>
      <c r="M34" s="121"/>
      <c r="N34" s="121"/>
      <c r="O34" s="121"/>
      <c r="P34" s="112"/>
    </row>
    <row r="35" spans="1:25" ht="15.75" thickBot="1" x14ac:dyDescent="0.3">
      <c r="A35" s="152"/>
      <c r="B35" s="153"/>
      <c r="C35" s="160"/>
      <c r="D35" s="161"/>
      <c r="E35" s="155"/>
      <c r="F35" s="155"/>
      <c r="G35" s="162"/>
      <c r="H35" s="162"/>
      <c r="I35" s="163"/>
      <c r="J35" s="155"/>
      <c r="K35" s="155"/>
      <c r="L35" s="161"/>
      <c r="M35" s="161"/>
      <c r="N35" s="161"/>
      <c r="O35" s="161"/>
      <c r="P35" s="138"/>
    </row>
    <row r="36" spans="1:25" ht="15.75" thickBot="1" x14ac:dyDescent="0.3">
      <c r="A36" s="143"/>
      <c r="B36" s="132"/>
      <c r="C36" s="132"/>
      <c r="D36" s="132"/>
      <c r="E36" s="132"/>
      <c r="F36" s="132"/>
      <c r="G36" s="133" t="s">
        <v>18</v>
      </c>
      <c r="H36" s="132"/>
      <c r="I36" s="132"/>
      <c r="J36" s="132"/>
      <c r="K36" s="132"/>
      <c r="L36" s="132"/>
      <c r="M36" s="132"/>
      <c r="N36" s="132"/>
      <c r="O36" s="132"/>
      <c r="P36" s="134"/>
    </row>
    <row r="37" spans="1:25" s="3" customFormat="1" ht="15.75" thickBot="1" x14ac:dyDescent="0.3">
      <c r="A37" s="164"/>
      <c r="B37" s="165"/>
      <c r="C37" s="165"/>
      <c r="D37" s="165"/>
      <c r="E37" s="165"/>
      <c r="F37" s="166"/>
      <c r="G37" s="167"/>
      <c r="H37" s="167"/>
      <c r="I37" s="168"/>
      <c r="J37" s="165"/>
      <c r="K37" s="165"/>
      <c r="L37" s="165"/>
      <c r="M37" s="165"/>
      <c r="N37" s="165"/>
      <c r="O37" s="165"/>
      <c r="P37" s="169"/>
    </row>
    <row r="38" spans="1:25" ht="21.75" customHeight="1" thickBot="1" x14ac:dyDescent="0.3">
      <c r="A38" s="66"/>
      <c r="B38" s="66"/>
      <c r="C38" s="67"/>
      <c r="D38" s="174">
        <f>SUM(D9:D37)</f>
        <v>50</v>
      </c>
      <c r="E38" s="174">
        <f>SUM(E9:E37)</f>
        <v>2</v>
      </c>
      <c r="F38" s="175"/>
      <c r="G38" s="176">
        <f>SUM(G9:G37)</f>
        <v>0</v>
      </c>
      <c r="H38" s="172">
        <f>SUM(H9:H37)</f>
        <v>0</v>
      </c>
      <c r="I38" s="173">
        <f>SUM(I9:I37)</f>
        <v>0</v>
      </c>
      <c r="J38" s="63"/>
      <c r="K38" s="68"/>
      <c r="L38" s="68"/>
      <c r="M38" s="63"/>
      <c r="N38" s="63"/>
      <c r="O38" s="63"/>
      <c r="P38" s="35"/>
    </row>
    <row r="39" spans="1:25" ht="18.75" customHeight="1" thickBot="1" x14ac:dyDescent="0.3">
      <c r="A39" s="177" t="s">
        <v>47</v>
      </c>
      <c r="B39" s="178"/>
      <c r="C39" s="178"/>
      <c r="D39" s="179"/>
      <c r="E39" s="179"/>
      <c r="F39" s="180"/>
      <c r="G39" s="181"/>
      <c r="H39" s="7"/>
      <c r="I39" s="8"/>
      <c r="J39" s="74"/>
      <c r="K39" s="74"/>
      <c r="L39" s="74"/>
      <c r="M39" s="74"/>
      <c r="N39" s="74"/>
      <c r="O39" s="74"/>
      <c r="P39" s="35"/>
    </row>
    <row r="40" spans="1:25" ht="15.75" thickBot="1" x14ac:dyDescent="0.3">
      <c r="A40" s="75"/>
      <c r="B40" s="192" t="s">
        <v>42</v>
      </c>
      <c r="C40" s="280" t="s">
        <v>41</v>
      </c>
      <c r="D40" s="281"/>
      <c r="E40" s="285" t="s">
        <v>45</v>
      </c>
      <c r="F40" s="286"/>
      <c r="G40" s="287"/>
      <c r="H40" s="7"/>
      <c r="I40" s="8"/>
      <c r="J40" s="74"/>
      <c r="K40" s="74"/>
      <c r="L40" s="74"/>
      <c r="M40" s="74"/>
      <c r="N40" s="74"/>
      <c r="O40" s="74"/>
      <c r="P40" s="35"/>
    </row>
    <row r="41" spans="1:25" ht="96.75" customHeight="1" x14ac:dyDescent="0.25">
      <c r="A41" s="191" t="s">
        <v>35</v>
      </c>
      <c r="B41" s="12"/>
      <c r="C41" s="306"/>
      <c r="D41" s="306"/>
      <c r="E41" s="270">
        <v>0</v>
      </c>
      <c r="F41" s="271"/>
      <c r="G41" s="272"/>
      <c r="H41" s="61"/>
      <c r="I41" s="62"/>
      <c r="J41" s="35"/>
      <c r="K41" s="35"/>
      <c r="L41" s="35"/>
      <c r="M41" s="35"/>
      <c r="N41" s="35"/>
      <c r="O41" s="35"/>
      <c r="P41" s="35"/>
    </row>
    <row r="42" spans="1:25" s="3" customFormat="1" x14ac:dyDescent="0.25">
      <c r="A42" s="186" t="s">
        <v>31</v>
      </c>
      <c r="B42" s="9"/>
      <c r="C42" s="313"/>
      <c r="D42" s="313"/>
      <c r="E42" s="270">
        <v>0</v>
      </c>
      <c r="F42" s="271"/>
      <c r="G42" s="272"/>
      <c r="H42" s="61"/>
      <c r="I42" s="62"/>
      <c r="J42" s="62"/>
      <c r="K42" s="62"/>
      <c r="L42" s="62"/>
      <c r="M42" s="62"/>
      <c r="N42" s="62"/>
      <c r="O42" s="62"/>
      <c r="P42" s="62"/>
      <c r="R42" s="47"/>
      <c r="S42" s="47"/>
      <c r="T42" s="47"/>
      <c r="U42" s="47"/>
      <c r="V42" s="47"/>
      <c r="W42" s="47"/>
      <c r="X42" s="47"/>
      <c r="Y42" s="47"/>
    </row>
    <row r="43" spans="1:25" x14ac:dyDescent="0.25">
      <c r="A43" s="186" t="s">
        <v>36</v>
      </c>
      <c r="B43" s="10"/>
      <c r="C43" s="314"/>
      <c r="D43" s="314"/>
      <c r="E43" s="270">
        <v>0</v>
      </c>
      <c r="F43" s="271"/>
      <c r="G43" s="272"/>
      <c r="H43" s="61"/>
      <c r="I43" s="288"/>
      <c r="J43" s="288"/>
      <c r="K43" s="288"/>
      <c r="L43" s="288"/>
      <c r="M43" s="288"/>
      <c r="N43" s="288"/>
      <c r="O43" s="288"/>
      <c r="P43" s="35"/>
      <c r="R43" s="48"/>
      <c r="S43" s="48"/>
      <c r="T43" s="48"/>
      <c r="U43" s="48"/>
      <c r="V43" s="48"/>
      <c r="W43" s="48"/>
      <c r="X43" s="48"/>
      <c r="Y43" s="48"/>
    </row>
    <row r="44" spans="1:25" ht="66" customHeight="1" x14ac:dyDescent="0.25">
      <c r="A44" s="186" t="s">
        <v>37</v>
      </c>
      <c r="B44" s="10"/>
      <c r="C44" s="313"/>
      <c r="D44" s="313"/>
      <c r="E44" s="270">
        <v>0</v>
      </c>
      <c r="F44" s="271"/>
      <c r="G44" s="272"/>
      <c r="H44" s="61"/>
      <c r="I44" s="289"/>
      <c r="J44" s="289"/>
      <c r="K44" s="289"/>
      <c r="L44" s="289"/>
      <c r="M44" s="289"/>
      <c r="N44" s="289"/>
      <c r="O44" s="289"/>
      <c r="P44" s="35"/>
      <c r="R44" s="48"/>
      <c r="S44" s="48"/>
      <c r="T44" s="48"/>
      <c r="U44" s="48"/>
      <c r="V44" s="48"/>
      <c r="W44" s="48"/>
      <c r="X44" s="48"/>
      <c r="Y44" s="48"/>
    </row>
    <row r="45" spans="1:25" ht="18" customHeight="1" x14ac:dyDescent="0.25">
      <c r="A45" s="186" t="s">
        <v>38</v>
      </c>
      <c r="B45" s="10"/>
      <c r="C45" s="277"/>
      <c r="D45" s="279"/>
      <c r="E45" s="258"/>
      <c r="F45" s="259"/>
      <c r="G45" s="260"/>
      <c r="H45" s="61"/>
      <c r="I45" s="289"/>
      <c r="J45" s="289"/>
      <c r="K45" s="289"/>
      <c r="L45" s="289"/>
      <c r="M45" s="289"/>
      <c r="N45" s="289"/>
      <c r="O45" s="289"/>
      <c r="P45" s="35"/>
      <c r="R45" s="301"/>
      <c r="S45" s="301"/>
      <c r="T45" s="301"/>
      <c r="U45" s="301"/>
      <c r="V45" s="301"/>
      <c r="W45" s="301"/>
      <c r="X45" s="301"/>
      <c r="Y45" s="301"/>
    </row>
    <row r="46" spans="1:25" ht="43.5" customHeight="1" x14ac:dyDescent="0.25">
      <c r="A46" s="186" t="s">
        <v>40</v>
      </c>
      <c r="B46" s="10"/>
      <c r="C46" s="277"/>
      <c r="D46" s="278"/>
      <c r="E46" s="258"/>
      <c r="F46" s="259"/>
      <c r="G46" s="260"/>
      <c r="H46" s="61"/>
      <c r="I46" s="289"/>
      <c r="J46" s="289"/>
      <c r="K46" s="289"/>
      <c r="L46" s="289"/>
      <c r="M46" s="289"/>
      <c r="N46" s="289"/>
      <c r="O46" s="289"/>
      <c r="P46" s="35"/>
      <c r="R46" s="49"/>
      <c r="S46" s="50"/>
      <c r="T46" s="50"/>
      <c r="U46" s="50"/>
      <c r="V46" s="50"/>
      <c r="W46" s="50"/>
      <c r="X46" s="50"/>
      <c r="Y46" s="50"/>
    </row>
    <row r="47" spans="1:25" s="3" customFormat="1" ht="45.75" customHeight="1" x14ac:dyDescent="0.25">
      <c r="A47" s="186" t="s">
        <v>39</v>
      </c>
      <c r="B47" s="10"/>
      <c r="C47" s="275"/>
      <c r="D47" s="276"/>
      <c r="E47" s="258"/>
      <c r="F47" s="259"/>
      <c r="G47" s="260"/>
      <c r="H47" s="61"/>
      <c r="I47" s="62"/>
      <c r="J47" s="62"/>
      <c r="K47" s="62"/>
      <c r="L47" s="62"/>
      <c r="M47" s="62"/>
      <c r="N47" s="62"/>
      <c r="O47" s="62"/>
      <c r="P47" s="62"/>
      <c r="R47" s="51"/>
      <c r="S47" s="52"/>
      <c r="T47" s="52"/>
      <c r="U47" s="53"/>
      <c r="V47" s="54"/>
      <c r="W47" s="55"/>
      <c r="X47" s="56"/>
      <c r="Y47" s="300"/>
    </row>
    <row r="48" spans="1:25" x14ac:dyDescent="0.25">
      <c r="A48" s="186" t="s">
        <v>43</v>
      </c>
      <c r="B48" s="10"/>
      <c r="C48" s="310"/>
      <c r="D48" s="310"/>
      <c r="E48" s="270">
        <f>M55</f>
        <v>0</v>
      </c>
      <c r="F48" s="271"/>
      <c r="G48" s="272"/>
      <c r="H48" s="61"/>
      <c r="I48" s="61"/>
      <c r="J48" s="35"/>
      <c r="K48" s="35"/>
      <c r="L48" s="35"/>
      <c r="M48" s="35"/>
      <c r="N48" s="35"/>
      <c r="O48" s="35"/>
      <c r="P48" s="35"/>
      <c r="R48" s="51"/>
      <c r="S48" s="49"/>
      <c r="T48" s="49"/>
      <c r="U48" s="57"/>
      <c r="V48" s="58"/>
      <c r="W48" s="59"/>
      <c r="X48" s="60"/>
      <c r="Y48" s="300"/>
    </row>
    <row r="49" spans="1:27" x14ac:dyDescent="0.25">
      <c r="A49" s="186" t="s">
        <v>19</v>
      </c>
      <c r="B49" s="10"/>
      <c r="C49" s="311"/>
      <c r="D49" s="311"/>
      <c r="E49" s="270">
        <f t="shared" ref="E49:E50" si="0">M56</f>
        <v>0</v>
      </c>
      <c r="F49" s="271"/>
      <c r="G49" s="272"/>
      <c r="H49" s="61"/>
      <c r="I49" s="61"/>
      <c r="J49" s="61"/>
      <c r="K49" s="61"/>
      <c r="L49" s="63"/>
      <c r="M49" s="63"/>
      <c r="N49" s="63"/>
      <c r="O49" s="63"/>
      <c r="P49" s="35"/>
      <c r="R49" s="51"/>
      <c r="S49" s="52"/>
      <c r="T49" s="52"/>
      <c r="U49" s="53"/>
      <c r="V49" s="54"/>
      <c r="W49" s="55"/>
      <c r="X49" s="56"/>
      <c r="Y49" s="300"/>
    </row>
    <row r="50" spans="1:27" ht="15.75" thickBot="1" x14ac:dyDescent="0.3">
      <c r="A50" s="187" t="s">
        <v>44</v>
      </c>
      <c r="B50" s="11"/>
      <c r="C50" s="312"/>
      <c r="D50" s="312"/>
      <c r="E50" s="252">
        <f t="shared" si="0"/>
        <v>0</v>
      </c>
      <c r="F50" s="253"/>
      <c r="G50" s="254"/>
      <c r="H50" s="61"/>
      <c r="I50" s="61"/>
      <c r="J50" s="61"/>
      <c r="K50" s="61"/>
      <c r="L50" s="63"/>
      <c r="M50" s="63"/>
      <c r="N50" s="63"/>
      <c r="O50" s="63"/>
      <c r="P50" s="35"/>
      <c r="R50" s="51"/>
      <c r="S50" s="49"/>
      <c r="T50" s="49"/>
      <c r="U50" s="57"/>
      <c r="V50" s="58"/>
      <c r="W50" s="59"/>
      <c r="X50" s="60"/>
      <c r="Y50" s="300"/>
    </row>
    <row r="51" spans="1:27" ht="24" customHeight="1" thickBot="1" x14ac:dyDescent="0.3">
      <c r="A51" s="65"/>
      <c r="B51" s="65"/>
      <c r="C51" s="65"/>
      <c r="D51" s="206" t="s">
        <v>46</v>
      </c>
      <c r="E51" s="255">
        <f>SUM(E41:E50)</f>
        <v>0</v>
      </c>
      <c r="F51" s="256"/>
      <c r="G51" s="257"/>
      <c r="H51" s="64"/>
      <c r="I51" s="64"/>
      <c r="J51" s="61"/>
      <c r="K51" s="61"/>
      <c r="L51" s="63"/>
      <c r="M51" s="63"/>
      <c r="N51" s="63"/>
      <c r="O51" s="63"/>
      <c r="P51" s="35"/>
      <c r="Q51" s="15"/>
      <c r="R51" s="14"/>
      <c r="S51" s="13"/>
      <c r="V51" s="4"/>
      <c r="W51" s="4"/>
      <c r="X51" s="5"/>
      <c r="Y51" s="5"/>
    </row>
    <row r="52" spans="1:27" ht="15.75" thickBot="1" x14ac:dyDescent="0.3">
      <c r="A52" s="210" t="s">
        <v>48</v>
      </c>
      <c r="B52" s="211"/>
      <c r="C52" s="211"/>
      <c r="D52" s="212"/>
      <c r="E52" s="35"/>
      <c r="F52" s="35"/>
      <c r="G52" s="35"/>
      <c r="H52" s="35"/>
      <c r="I52" s="35"/>
      <c r="J52" s="64"/>
      <c r="K52" s="64"/>
      <c r="L52" s="34"/>
      <c r="M52" s="34"/>
      <c r="N52" s="34"/>
      <c r="O52" s="34"/>
      <c r="P52" s="35"/>
      <c r="Q52" s="15"/>
      <c r="R52" s="15"/>
      <c r="S52" s="15"/>
    </row>
    <row r="53" spans="1:27" ht="15.75" thickBot="1" x14ac:dyDescent="0.3">
      <c r="A53" s="43"/>
      <c r="B53" s="44" t="s">
        <v>7</v>
      </c>
      <c r="C53" s="45" t="s">
        <v>20</v>
      </c>
      <c r="D53" s="46" t="s">
        <v>6</v>
      </c>
      <c r="E53" s="17"/>
      <c r="F53" s="264" t="s">
        <v>57</v>
      </c>
      <c r="G53" s="265"/>
      <c r="H53" s="265"/>
      <c r="I53" s="265"/>
      <c r="J53" s="265"/>
      <c r="K53" s="265"/>
      <c r="L53" s="265"/>
      <c r="M53" s="266"/>
      <c r="N53" s="27"/>
      <c r="O53" s="27"/>
      <c r="P53" s="16"/>
      <c r="Q53" s="17"/>
      <c r="R53" s="17"/>
      <c r="S53" s="17"/>
      <c r="U53" s="15"/>
      <c r="V53" s="15"/>
      <c r="W53" s="15"/>
      <c r="X53" s="15"/>
      <c r="Y53" s="15"/>
      <c r="Z53" s="15"/>
      <c r="AA53" s="15"/>
    </row>
    <row r="54" spans="1:27" ht="26.25" thickBot="1" x14ac:dyDescent="0.3">
      <c r="A54" s="182" t="s">
        <v>50</v>
      </c>
      <c r="B54" s="195"/>
      <c r="C54" s="196"/>
      <c r="D54" s="197"/>
      <c r="E54" s="19"/>
      <c r="F54" s="38"/>
      <c r="G54" s="93" t="s">
        <v>22</v>
      </c>
      <c r="H54" s="94" t="s">
        <v>23</v>
      </c>
      <c r="I54" s="94" t="s">
        <v>24</v>
      </c>
      <c r="J54" s="94" t="s">
        <v>25</v>
      </c>
      <c r="K54" s="94" t="s">
        <v>26</v>
      </c>
      <c r="L54" s="94" t="s">
        <v>27</v>
      </c>
      <c r="M54" s="95" t="s">
        <v>28</v>
      </c>
      <c r="N54" s="17"/>
      <c r="O54" s="17"/>
      <c r="P54" s="18"/>
      <c r="Q54" s="19"/>
      <c r="R54" s="20"/>
      <c r="S54" s="19"/>
      <c r="U54" s="261"/>
      <c r="V54" s="261"/>
      <c r="W54" s="261"/>
      <c r="X54" s="261"/>
      <c r="Y54" s="261"/>
      <c r="Z54" s="261"/>
      <c r="AA54" s="261"/>
    </row>
    <row r="55" spans="1:27" x14ac:dyDescent="0.25">
      <c r="A55" s="183" t="s">
        <v>51</v>
      </c>
      <c r="B55" s="198">
        <f>H38</f>
        <v>0</v>
      </c>
      <c r="C55" s="199">
        <f>I38</f>
        <v>0</v>
      </c>
      <c r="D55" s="200">
        <f>G38</f>
        <v>0</v>
      </c>
      <c r="E55" s="19"/>
      <c r="F55" s="188" t="s">
        <v>29</v>
      </c>
      <c r="G55" s="40"/>
      <c r="H55" s="39"/>
      <c r="I55" s="96"/>
      <c r="J55" s="97"/>
      <c r="K55" s="98"/>
      <c r="L55" s="99"/>
      <c r="M55" s="267"/>
      <c r="N55" s="16"/>
      <c r="O55" s="16"/>
      <c r="P55" s="16"/>
      <c r="Q55" s="19"/>
      <c r="R55" s="20"/>
      <c r="S55" s="19"/>
      <c r="U55" s="262"/>
      <c r="V55" s="262"/>
      <c r="W55" s="262"/>
      <c r="X55" s="262"/>
      <c r="Y55" s="262"/>
      <c r="Z55" s="262"/>
      <c r="AA55" s="262"/>
    </row>
    <row r="56" spans="1:27" ht="15.75" customHeight="1" thickBot="1" x14ac:dyDescent="0.3">
      <c r="A56" s="184" t="s">
        <v>52</v>
      </c>
      <c r="B56" s="198">
        <f>I57</f>
        <v>0</v>
      </c>
      <c r="C56" s="201">
        <f>J57</f>
        <v>0</v>
      </c>
      <c r="D56" s="202">
        <f>L57</f>
        <v>0</v>
      </c>
      <c r="E56" s="19"/>
      <c r="F56" s="189" t="s">
        <v>30</v>
      </c>
      <c r="G56" s="41"/>
      <c r="H56" s="37"/>
      <c r="I56" s="82"/>
      <c r="J56" s="83"/>
      <c r="K56" s="84"/>
      <c r="L56" s="100"/>
      <c r="M56" s="268"/>
      <c r="N56" s="26"/>
      <c r="O56" s="26"/>
      <c r="P56" s="26"/>
      <c r="Q56" s="19"/>
      <c r="R56" s="20"/>
      <c r="S56" s="19"/>
      <c r="U56" s="262"/>
      <c r="V56" s="262"/>
      <c r="W56" s="262"/>
      <c r="X56" s="262"/>
      <c r="Y56" s="262"/>
      <c r="Z56" s="262"/>
      <c r="AA56" s="262"/>
    </row>
    <row r="57" spans="1:27" ht="15" customHeight="1" x14ac:dyDescent="0.25">
      <c r="A57" s="184" t="s">
        <v>53</v>
      </c>
      <c r="B57" s="198">
        <f>I58</f>
        <v>0</v>
      </c>
      <c r="C57" s="201">
        <f>J58</f>
        <v>0</v>
      </c>
      <c r="D57" s="202">
        <f>L58</f>
        <v>0</v>
      </c>
      <c r="E57" s="19"/>
      <c r="F57" s="189" t="s">
        <v>21</v>
      </c>
      <c r="G57" s="41"/>
      <c r="H57" s="37"/>
      <c r="I57" s="85"/>
      <c r="J57" s="86"/>
      <c r="K57" s="87"/>
      <c r="L57" s="88"/>
      <c r="M57" s="269"/>
      <c r="N57" s="34"/>
      <c r="O57" s="263"/>
      <c r="P57" s="263"/>
      <c r="Q57" s="19"/>
      <c r="R57" s="20"/>
      <c r="S57" s="19"/>
      <c r="U57" s="262"/>
      <c r="V57" s="262"/>
      <c r="W57" s="262"/>
      <c r="X57" s="262"/>
      <c r="Y57" s="262"/>
      <c r="Z57" s="262"/>
      <c r="AA57" s="262"/>
    </row>
    <row r="58" spans="1:27" ht="15.75" thickBot="1" x14ac:dyDescent="0.3">
      <c r="A58" s="185" t="s">
        <v>43</v>
      </c>
      <c r="B58" s="203">
        <f>I55</f>
        <v>0</v>
      </c>
      <c r="C58" s="204">
        <f>J55</f>
        <v>0</v>
      </c>
      <c r="D58" s="205">
        <f>L55+L56</f>
        <v>0</v>
      </c>
      <c r="E58" s="21"/>
      <c r="F58" s="190" t="s">
        <v>58</v>
      </c>
      <c r="G58" s="42"/>
      <c r="H58" s="36"/>
      <c r="I58" s="89"/>
      <c r="J58" s="90"/>
      <c r="K58" s="91"/>
      <c r="L58" s="92"/>
      <c r="M58" s="269"/>
      <c r="N58" s="34"/>
      <c r="O58" s="263"/>
      <c r="P58" s="263"/>
      <c r="Q58" s="21"/>
      <c r="R58" s="20"/>
      <c r="S58" s="19"/>
    </row>
    <row r="59" spans="1:27" ht="15.75" thickBot="1" x14ac:dyDescent="0.3">
      <c r="A59" s="213" t="s">
        <v>56</v>
      </c>
      <c r="B59" s="207">
        <f>SUM(B54:B58)</f>
        <v>0</v>
      </c>
      <c r="C59" s="208">
        <f>SUM(C54:C58)</f>
        <v>0</v>
      </c>
      <c r="D59" s="209">
        <f>SUM(D54:D58)</f>
        <v>0</v>
      </c>
      <c r="E59" s="76"/>
      <c r="F59" s="28"/>
      <c r="G59" s="29"/>
      <c r="H59" s="29"/>
      <c r="I59" s="33"/>
      <c r="J59" s="30"/>
      <c r="K59" s="31"/>
      <c r="L59" s="32"/>
      <c r="M59" s="33"/>
      <c r="N59" s="34"/>
      <c r="O59" s="27"/>
      <c r="P59" s="27"/>
      <c r="Q59" s="22"/>
      <c r="R59" s="23"/>
      <c r="S59" s="22"/>
    </row>
    <row r="60" spans="1:27" ht="15.75" thickBot="1" x14ac:dyDescent="0.3">
      <c r="A60" s="219" t="s">
        <v>49</v>
      </c>
      <c r="B60" s="220"/>
      <c r="C60" s="221"/>
      <c r="D60" s="222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7" customHeight="1" thickBot="1" x14ac:dyDescent="0.3">
      <c r="A61" s="218" t="s">
        <v>54</v>
      </c>
      <c r="B61" s="216">
        <f>B59</f>
        <v>0</v>
      </c>
      <c r="C61" s="217">
        <f>C59</f>
        <v>0</v>
      </c>
      <c r="D61" s="216">
        <f>D59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ht="21.75" customHeight="1" thickBot="1" x14ac:dyDescent="0.3">
      <c r="A62" s="218" t="s">
        <v>55</v>
      </c>
      <c r="B62" s="216">
        <f>E51</f>
        <v>0</v>
      </c>
      <c r="C62" s="214"/>
      <c r="D62" s="215"/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ht="21.75" customHeight="1" thickBot="1" x14ac:dyDescent="0.3">
      <c r="A63" s="223" t="s">
        <v>49</v>
      </c>
      <c r="B63" s="224">
        <f>B61-B62</f>
        <v>0</v>
      </c>
      <c r="C63" s="225">
        <f>C59</f>
        <v>0</v>
      </c>
      <c r="D63" s="224">
        <f>D59</f>
        <v>0</v>
      </c>
      <c r="E63" s="77"/>
      <c r="F63" s="78"/>
      <c r="G63" s="77"/>
      <c r="H63" s="35"/>
      <c r="I63" s="35"/>
      <c r="J63" s="64"/>
      <c r="K63" s="64"/>
      <c r="L63" s="34"/>
      <c r="M63" s="34"/>
      <c r="N63" s="34"/>
      <c r="O63" s="34"/>
      <c r="P63" s="16"/>
      <c r="Q63" s="24"/>
      <c r="R63" s="25"/>
      <c r="S63" s="24"/>
    </row>
    <row r="64" spans="1:27" x14ac:dyDescent="0.25">
      <c r="E64" s="35"/>
      <c r="F64" s="35"/>
      <c r="G64" s="35"/>
      <c r="H64" s="35"/>
      <c r="I64" s="35"/>
      <c r="J64" s="35"/>
      <c r="K64" s="35"/>
      <c r="L64" s="79"/>
      <c r="M64" s="79"/>
      <c r="N64" s="79"/>
      <c r="O64" s="79"/>
      <c r="P64" s="35"/>
      <c r="Q64" s="15"/>
      <c r="R64" s="15"/>
      <c r="S64" s="15"/>
    </row>
    <row r="65" spans="5:15" x14ac:dyDescent="0.25">
      <c r="E65" s="35"/>
      <c r="F65" s="35"/>
      <c r="G65" s="35"/>
      <c r="H65" s="35"/>
      <c r="I65" s="35"/>
      <c r="J65" s="35"/>
      <c r="K65" s="35"/>
      <c r="L65" s="79"/>
      <c r="M65" s="79"/>
      <c r="N65" s="79"/>
      <c r="O65" s="79"/>
    </row>
    <row r="68" spans="5:15" ht="37.5" customHeight="1" x14ac:dyDescent="0.25"/>
  </sheetData>
  <mergeCells count="46">
    <mergeCell ref="C48:D48"/>
    <mergeCell ref="C49:D49"/>
    <mergeCell ref="C50:D50"/>
    <mergeCell ref="C42:D42"/>
    <mergeCell ref="C43:D43"/>
    <mergeCell ref="C44:D44"/>
    <mergeCell ref="E2:G2"/>
    <mergeCell ref="A4:P5"/>
    <mergeCell ref="C41:D41"/>
    <mergeCell ref="O3:P3"/>
    <mergeCell ref="M3:N3"/>
    <mergeCell ref="J1:L1"/>
    <mergeCell ref="M1:N1"/>
    <mergeCell ref="O1:P1"/>
    <mergeCell ref="O2:P2"/>
    <mergeCell ref="Y49:Y50"/>
    <mergeCell ref="Y47:Y48"/>
    <mergeCell ref="R45:Y45"/>
    <mergeCell ref="B1:C1"/>
    <mergeCell ref="C47:D47"/>
    <mergeCell ref="C46:D46"/>
    <mergeCell ref="C45:D45"/>
    <mergeCell ref="C40:D40"/>
    <mergeCell ref="A3:L3"/>
    <mergeCell ref="E40:G40"/>
    <mergeCell ref="E41:G41"/>
    <mergeCell ref="E43:G43"/>
    <mergeCell ref="E42:G42"/>
    <mergeCell ref="I43:O43"/>
    <mergeCell ref="I44:O46"/>
    <mergeCell ref="E44:G44"/>
    <mergeCell ref="E45:G45"/>
    <mergeCell ref="E47:G47"/>
    <mergeCell ref="H1:I1"/>
    <mergeCell ref="E50:G50"/>
    <mergeCell ref="E51:G51"/>
    <mergeCell ref="E46:G46"/>
    <mergeCell ref="U54:AA54"/>
    <mergeCell ref="U55:AA57"/>
    <mergeCell ref="O57:O58"/>
    <mergeCell ref="P57:P58"/>
    <mergeCell ref="F53:M53"/>
    <mergeCell ref="M55:M56"/>
    <mergeCell ref="M57:M58"/>
    <mergeCell ref="E48:G48"/>
    <mergeCell ref="E49:G49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6" ht="15.75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6" ht="15.75" thickBot="1" x14ac:dyDescent="0.3">
      <c r="A4" s="305" t="s">
        <v>34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6" ht="15.75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</row>
    <row r="41" spans="1:16" ht="25.5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</row>
    <row r="42" spans="1:16" ht="25.5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</row>
    <row r="43" spans="1:16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</row>
    <row r="44" spans="1:16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6" ht="15.75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6" ht="15.75" thickBot="1" x14ac:dyDescent="0.3">
      <c r="A4" s="305" t="s">
        <v>68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6" ht="15.75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</row>
    <row r="41" spans="1:16" ht="25.5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</row>
    <row r="42" spans="1:16" ht="25.5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</row>
    <row r="43" spans="1:16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</row>
    <row r="44" spans="1:16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6" ht="15.75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6" ht="15.75" thickBot="1" x14ac:dyDescent="0.3">
      <c r="A4" s="305" t="s">
        <v>67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6" ht="15.75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</row>
    <row r="41" spans="1:16" ht="25.5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</row>
    <row r="42" spans="1:16" ht="25.5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</row>
    <row r="43" spans="1:16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</row>
    <row r="44" spans="1:16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5"/>
      <c r="C1" s="316"/>
      <c r="D1" s="226" t="s">
        <v>62</v>
      </c>
      <c r="E1" s="227"/>
      <c r="F1" s="228"/>
      <c r="G1" s="229"/>
      <c r="H1" s="317"/>
      <c r="I1" s="318"/>
      <c r="J1" s="318"/>
      <c r="K1" s="319"/>
      <c r="L1" s="319"/>
      <c r="M1" s="320"/>
      <c r="N1" s="319"/>
      <c r="O1" s="321"/>
      <c r="P1" s="321"/>
    </row>
    <row r="2" spans="1:16" ht="15.75" thickBot="1" x14ac:dyDescent="0.3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</row>
    <row r="3" spans="1:16" ht="15.75" hidden="1" thickBot="1" x14ac:dyDescent="0.3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2026-03-18T13:38:42Z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