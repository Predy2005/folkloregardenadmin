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EB3941AF-B1A6-4C11-A1B5-090CA4F05506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D56" i="5" s="1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D56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B56" i="4" l="1"/>
  <c r="B58" i="4" s="1"/>
  <c r="C56" i="5"/>
  <c r="C58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5"/>
  <c r="D58" i="5"/>
  <c r="D60" i="4"/>
  <c r="D60" i="3"/>
  <c r="D58" i="3"/>
  <c r="C60" i="3"/>
  <c r="C58" i="1" l="1"/>
  <c r="B60" i="3"/>
  <c r="C60" i="4"/>
  <c r="B60" i="5"/>
  <c r="E45" i="1"/>
  <c r="D55" i="1"/>
  <c r="E46" i="1"/>
  <c r="E47" i="1"/>
  <c r="E35" i="1"/>
  <c r="D35" i="1"/>
  <c r="H35" i="1"/>
  <c r="B52" i="1" s="1"/>
  <c r="B56" i="1" s="1"/>
  <c r="B58" i="1" s="1"/>
  <c r="G35" i="1"/>
  <c r="D52" i="1" s="1"/>
  <c r="D56" i="1" s="1"/>
  <c r="E48" i="1" l="1"/>
  <c r="B59" i="1" s="1"/>
  <c r="B60" i="1" s="1"/>
  <c r="D60" i="1"/>
  <c r="D58" i="1"/>
</calcChain>
</file>

<file path=xl/sharedStrings.xml><?xml version="1.0" encoding="utf-8"?>
<sst xmlns="http://schemas.openxmlformats.org/spreadsheetml/2006/main" count="316" uniqueCount="85">
  <si>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</si>
  <si>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</si>
  <si>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</si>
  <si>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</si>
  <si>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</si>
  <si>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</si>
  <si>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</si>
  <si>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</si>
  <si>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</si>
  <si>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</si>
  <si>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</si>
  <si>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</si>
  <si>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</si>
  <si>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</si>
  <si>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</si>
  <si>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</si>
  <si>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</si>
  <si>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</si>
  <si>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</si>
  <si>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</si>
  <si>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</si>
  <si>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</si>
  <si>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</si>
  <si>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</si>
  <si>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</si>
  <si>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</si>
  <si>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</si>
  <si>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</si>
  <si>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</si>
  <si>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</si>
  <si>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</si>
  <si>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</si>
  <si>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</si>
  <si>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</si>
  <si>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</si>
  <si>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</si>
  <si>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</si>
  <si>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</si>
  <si>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</si>
  <si>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</si>
  <si>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</si>
  <si>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</si>
  <si>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</si>
  <si>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</si>
  <si>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</si>
  <si>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</si>
  <si>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</si>
  <si>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</si>
  <si>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</si>
  <si>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</si>
  <si>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</si>
  <si>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</si>
  <si>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</si>
  <si>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</si>
  <si>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</si>
  <si>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</si>
  <si>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</si>
  <si>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</si>
  <si>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</si>
  <si>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</si>
  <si>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</si>
  <si>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</si>
  <si>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</si>
  <si>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</si>
  <si>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</si>
  <si>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</si>
  <si>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</si>
  <si>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</si>
  <si>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</si>
  <si>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IWI TOUR, SK. 1</t>
  </si>
  <si>
    <t>X</t>
  </si>
  <si>
    <t>tradiční</t>
  </si>
  <si>
    <t>bez pití</t>
  </si>
  <si>
    <t>Německo</t>
  </si>
  <si>
    <t>26 eur/os., fa</t>
  </si>
  <si>
    <t>invalidní branka</t>
  </si>
  <si>
    <t>rezervace dne 17/10</t>
  </si>
  <si>
    <t>IWI TOUR, SK. 2</t>
  </si>
  <si>
    <t>Met travel MET 2806 PVB6</t>
  </si>
  <si>
    <t>x</t>
  </si>
  <si>
    <t xml:space="preserve">losos + kuře </t>
  </si>
  <si>
    <t xml:space="preserve">neomezeně </t>
  </si>
  <si>
    <t>Turecko</t>
  </si>
  <si>
    <t>37 eur/os, u nás</t>
  </si>
  <si>
    <t>rezervace dne 18/3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</si>
</sst>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7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18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10" fillId="8" borderId="22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5"/>
  <sheetViews>
    <sheetView windowProtection="1" tabSelected="1" zoomScaleNormal="100" workbookViewId="0">
      <pane ySplit="6" topLeftCell="A7" activePane="bottomLeft" state="frozen"/>
      <selection pane="bottomLeft" activeCell="S16" sqref="S16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1"/>
      <c r="C1" s="272"/>
      <c r="D1" s="69" t="s">
        <v>62</v>
      </c>
      <c r="E1" s="193"/>
      <c r="F1" s="194"/>
      <c r="G1" s="194"/>
      <c r="H1" s="294" t="s">
        <v>32</v>
      </c>
      <c r="I1" s="295"/>
      <c r="J1" s="262"/>
      <c r="K1" s="263"/>
      <c r="L1" s="264"/>
      <c r="M1" s="265" t="s">
        <v>60</v>
      </c>
      <c r="N1" s="261"/>
      <c r="O1" s="266"/>
      <c r="P1" s="267"/>
    </row>
    <row r="2" spans="1:17" ht="18" customHeight="1" thickBot="1" x14ac:dyDescent="0.3">
      <c r="A2" s="70"/>
      <c r="B2" s="70"/>
      <c r="C2" s="71"/>
      <c r="D2" s="81" t="s">
        <v>63</v>
      </c>
      <c r="E2" s="253"/>
      <c r="F2" s="254"/>
      <c r="G2" s="255"/>
      <c r="H2" s="70"/>
      <c r="I2" s="71"/>
      <c r="J2" s="71"/>
      <c r="K2" s="35"/>
      <c r="L2" s="35"/>
      <c r="M2" s="72" t="s">
        <v>59</v>
      </c>
      <c r="N2" s="73"/>
      <c r="O2" s="268"/>
      <c r="P2" s="264"/>
    </row>
    <row r="3" spans="1:17" ht="18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2"/>
      <c r="M3" s="260" t="s">
        <v>61</v>
      </c>
      <c r="N3" s="261"/>
      <c r="O3" s="258"/>
      <c r="P3" s="259"/>
    </row>
    <row r="4" spans="1:17" ht="15.75" thickBot="1" x14ac:dyDescent="0.3">
      <c r="A4" s="256" t="s">
        <v>64</v>
      </c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</row>
    <row r="5" spans="1:17" ht="15.75" hidden="1" thickBot="1" x14ac:dyDescent="0.3">
      <c r="A5" s="256"/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s="1" customFormat="1" ht="26.25" x14ac:dyDescent="0.25">
      <c r="A9" s="105" t="s">
        <v>69</v>
      </c>
      <c r="B9" s="106" t="s">
        <v>70</v>
      </c>
      <c r="C9" s="107"/>
      <c r="D9" s="107">
        <v>30</v>
      </c>
      <c r="E9" s="107">
        <v>2</v>
      </c>
      <c r="F9" s="107"/>
      <c r="G9" s="107"/>
      <c r="H9" s="107"/>
      <c r="I9" s="107"/>
      <c r="J9" s="107" t="s">
        <v>71</v>
      </c>
      <c r="K9" s="128" t="s">
        <v>72</v>
      </c>
      <c r="L9" s="107" t="s">
        <v>73</v>
      </c>
      <c r="M9" s="106" t="s">
        <v>74</v>
      </c>
      <c r="N9" s="129" t="s">
        <v>70</v>
      </c>
      <c r="O9" s="129" t="s">
        <v>75</v>
      </c>
      <c r="P9" s="247" t="s">
        <v>76</v>
      </c>
      <c r="Q9" s="6"/>
    </row>
    <row r="10" spans="1:17" s="1" customFormat="1" ht="26.25" x14ac:dyDescent="0.25">
      <c r="A10" s="105" t="s">
        <v>77</v>
      </c>
      <c r="B10" s="106" t="s">
        <v>70</v>
      </c>
      <c r="C10" s="107"/>
      <c r="D10" s="107">
        <v>30</v>
      </c>
      <c r="E10" s="107">
        <v>2</v>
      </c>
      <c r="F10" s="107"/>
      <c r="G10" s="107"/>
      <c r="H10" s="107"/>
      <c r="I10" s="107"/>
      <c r="J10" s="107" t="s">
        <v>71</v>
      </c>
      <c r="K10" s="128" t="s">
        <v>72</v>
      </c>
      <c r="L10" s="107" t="s">
        <v>73</v>
      </c>
      <c r="M10" s="106" t="s">
        <v>74</v>
      </c>
      <c r="N10" s="129" t="s">
        <v>70</v>
      </c>
      <c r="O10" s="129" t="s">
        <v>75</v>
      </c>
      <c r="P10" s="247" t="s">
        <v>76</v>
      </c>
      <c r="Q10" s="6"/>
    </row>
    <row r="11" spans="1:17" ht="26.25" x14ac:dyDescent="0.25">
      <c r="A11" s="105" t="s">
        <v>78</v>
      </c>
      <c r="B11" s="101" t="s">
        <v>79</v>
      </c>
      <c r="C11" s="102"/>
      <c r="D11" s="102">
        <v>20</v>
      </c>
      <c r="E11" s="102">
        <v>2</v>
      </c>
      <c r="F11" s="102"/>
      <c r="G11" s="102"/>
      <c r="H11" s="102"/>
      <c r="I11" s="102"/>
      <c r="J11" s="107" t="s">
        <v>80</v>
      </c>
      <c r="K11" s="128" t="s">
        <v>81</v>
      </c>
      <c r="L11" s="102" t="s">
        <v>82</v>
      </c>
      <c r="M11" s="101" t="s">
        <v>83</v>
      </c>
      <c r="N11" s="103" t="s">
        <v>79</v>
      </c>
      <c r="O11" s="129"/>
      <c r="P11" s="247" t="s">
        <v>84</v>
      </c>
    </row>
    <row r="12" spans="1:17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7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7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7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7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SUM(D9:D34)</f>
        <v>80</v>
      </c>
      <c r="E35" s="174">
        <f>SUM(E9:E34)</f>
        <v>6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78" t="s">
        <v>41</v>
      </c>
      <c r="D37" s="279"/>
      <c r="E37" s="283" t="s">
        <v>45</v>
      </c>
      <c r="F37" s="284"/>
      <c r="G37" s="285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257"/>
      <c r="D38" s="257"/>
      <c r="E38" s="286">
        <v>0</v>
      </c>
      <c r="F38" s="287"/>
      <c r="G38" s="288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251"/>
      <c r="D39" s="251"/>
      <c r="E39" s="286">
        <v>0</v>
      </c>
      <c r="F39" s="287"/>
      <c r="G39" s="288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252"/>
      <c r="D40" s="252"/>
      <c r="E40" s="286">
        <v>0</v>
      </c>
      <c r="F40" s="287"/>
      <c r="G40" s="288"/>
      <c r="H40" s="61"/>
      <c r="I40" s="289"/>
      <c r="J40" s="289"/>
      <c r="K40" s="289"/>
      <c r="L40" s="289"/>
      <c r="M40" s="289"/>
      <c r="N40" s="289"/>
      <c r="O40" s="289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251"/>
      <c r="D41" s="251"/>
      <c r="E41" s="286">
        <v>0</v>
      </c>
      <c r="F41" s="287"/>
      <c r="G41" s="288"/>
      <c r="H41" s="61"/>
      <c r="I41" s="290"/>
      <c r="J41" s="290"/>
      <c r="K41" s="290"/>
      <c r="L41" s="290"/>
      <c r="M41" s="290"/>
      <c r="N41" s="290"/>
      <c r="O41" s="290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75"/>
      <c r="D42" s="277"/>
      <c r="E42" s="291"/>
      <c r="F42" s="292"/>
      <c r="G42" s="293"/>
      <c r="H42" s="61"/>
      <c r="I42" s="290"/>
      <c r="J42" s="290"/>
      <c r="K42" s="290"/>
      <c r="L42" s="290"/>
      <c r="M42" s="290"/>
      <c r="N42" s="290"/>
      <c r="O42" s="290"/>
      <c r="P42" s="35"/>
      <c r="R42" s="270"/>
      <c r="S42" s="270"/>
      <c r="T42" s="270"/>
      <c r="U42" s="270"/>
      <c r="V42" s="270"/>
      <c r="W42" s="270"/>
      <c r="X42" s="270"/>
      <c r="Y42" s="270"/>
    </row>
    <row r="43" spans="1:25" ht="43.5" customHeight="1" x14ac:dyDescent="0.25">
      <c r="A43" s="186" t="s">
        <v>40</v>
      </c>
      <c r="B43" s="10"/>
      <c r="C43" s="275"/>
      <c r="D43" s="276"/>
      <c r="E43" s="291"/>
      <c r="F43" s="292"/>
      <c r="G43" s="293"/>
      <c r="H43" s="61"/>
      <c r="I43" s="290"/>
      <c r="J43" s="290"/>
      <c r="K43" s="290"/>
      <c r="L43" s="290"/>
      <c r="M43" s="290"/>
      <c r="N43" s="290"/>
      <c r="O43" s="290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73"/>
      <c r="D44" s="274"/>
      <c r="E44" s="291"/>
      <c r="F44" s="292"/>
      <c r="G44" s="293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269"/>
    </row>
    <row r="45" spans="1:25" x14ac:dyDescent="0.25">
      <c r="A45" s="186" t="s">
        <v>43</v>
      </c>
      <c r="B45" s="10"/>
      <c r="C45" s="248"/>
      <c r="D45" s="248"/>
      <c r="E45" s="286">
        <f>M52</f>
        <v>0</v>
      </c>
      <c r="F45" s="287"/>
      <c r="G45" s="288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269"/>
    </row>
    <row r="46" spans="1:25" x14ac:dyDescent="0.25">
      <c r="A46" s="186" t="s">
        <v>19</v>
      </c>
      <c r="B46" s="10"/>
      <c r="C46" s="249"/>
      <c r="D46" s="249"/>
      <c r="E46" s="286">
        <f t="shared" ref="E46:E47" si="0">M53</f>
        <v>0</v>
      </c>
      <c r="F46" s="287"/>
      <c r="G46" s="288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269"/>
    </row>
    <row r="47" spans="1:25" ht="15.75" thickBot="1" x14ac:dyDescent="0.3">
      <c r="A47" s="187" t="s">
        <v>44</v>
      </c>
      <c r="B47" s="11"/>
      <c r="C47" s="250"/>
      <c r="D47" s="250"/>
      <c r="E47" s="296">
        <f t="shared" si="0"/>
        <v>0</v>
      </c>
      <c r="F47" s="297"/>
      <c r="G47" s="298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269"/>
    </row>
    <row r="48" spans="1:25" ht="24" customHeight="1" thickBot="1" x14ac:dyDescent="0.3">
      <c r="A48" s="65"/>
      <c r="B48" s="65"/>
      <c r="C48" s="65"/>
      <c r="D48" s="206" t="s">
        <v>46</v>
      </c>
      <c r="E48" s="299">
        <f>SUM(E38:E47)</f>
        <v>0</v>
      </c>
      <c r="F48" s="300"/>
      <c r="G48" s="301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5" t="s">
        <v>57</v>
      </c>
      <c r="G50" s="306"/>
      <c r="H50" s="306"/>
      <c r="I50" s="306"/>
      <c r="J50" s="306"/>
      <c r="K50" s="306"/>
      <c r="L50" s="306"/>
      <c r="M50" s="307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302"/>
      <c r="V51" s="302"/>
      <c r="W51" s="302"/>
      <c r="X51" s="302"/>
      <c r="Y51" s="302"/>
      <c r="Z51" s="302"/>
      <c r="AA51" s="302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08"/>
      <c r="N52" s="16"/>
      <c r="O52" s="16"/>
      <c r="P52" s="16"/>
      <c r="Q52" s="19"/>
      <c r="R52" s="20"/>
      <c r="S52" s="19"/>
      <c r="U52" s="303"/>
      <c r="V52" s="303"/>
      <c r="W52" s="303"/>
      <c r="X52" s="303"/>
      <c r="Y52" s="303"/>
      <c r="Z52" s="303"/>
      <c r="AA52" s="303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09"/>
      <c r="N53" s="26"/>
      <c r="O53" s="26"/>
      <c r="P53" s="26"/>
      <c r="Q53" s="19"/>
      <c r="R53" s="20"/>
      <c r="S53" s="19"/>
      <c r="U53" s="303"/>
      <c r="V53" s="303"/>
      <c r="W53" s="303"/>
      <c r="X53" s="303"/>
      <c r="Y53" s="303"/>
      <c r="Z53" s="303"/>
      <c r="AA53" s="303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0"/>
      <c r="N54" s="34"/>
      <c r="O54" s="304"/>
      <c r="P54" s="304"/>
      <c r="Q54" s="19"/>
      <c r="R54" s="20"/>
      <c r="S54" s="19"/>
      <c r="U54" s="303"/>
      <c r="V54" s="303"/>
      <c r="W54" s="303"/>
      <c r="X54" s="303"/>
      <c r="Y54" s="303"/>
      <c r="Z54" s="303"/>
      <c r="AA54" s="303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0"/>
      <c r="N55" s="34"/>
      <c r="O55" s="304"/>
      <c r="P55" s="304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46"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J1:L1"/>
    <mergeCell ref="M1:N1"/>
    <mergeCell ref="O1:P1"/>
    <mergeCell ref="O2:P2"/>
    <mergeCell ref="Y46:Y47"/>
    <mergeCell ref="Y44:Y45"/>
    <mergeCell ref="R42:Y42"/>
    <mergeCell ref="E2:G2"/>
    <mergeCell ref="A4:P5"/>
    <mergeCell ref="C38:D38"/>
    <mergeCell ref="O3:P3"/>
    <mergeCell ref="M3:N3"/>
    <mergeCell ref="C45:D45"/>
    <mergeCell ref="C46:D46"/>
    <mergeCell ref="C47:D47"/>
    <mergeCell ref="C39:D39"/>
    <mergeCell ref="C40:D40"/>
    <mergeCell ref="C41:D41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1"/>
      <c r="C1" s="272"/>
      <c r="D1" s="69" t="s">
        <v>62</v>
      </c>
      <c r="E1" s="193"/>
      <c r="F1" s="194"/>
      <c r="G1" s="194"/>
      <c r="H1" s="294" t="s">
        <v>32</v>
      </c>
      <c r="I1" s="295"/>
      <c r="J1" s="262"/>
      <c r="K1" s="263"/>
      <c r="L1" s="264"/>
      <c r="M1" s="265" t="s">
        <v>60</v>
      </c>
      <c r="N1" s="261"/>
      <c r="O1" s="266"/>
      <c r="P1" s="267"/>
    </row>
    <row r="2" spans="1:16" ht="15.75" thickBot="1" x14ac:dyDescent="0.3">
      <c r="A2" s="70"/>
      <c r="B2" s="70"/>
      <c r="C2" s="71"/>
      <c r="D2" s="81" t="s">
        <v>63</v>
      </c>
      <c r="E2" s="253"/>
      <c r="F2" s="254"/>
      <c r="G2" s="255"/>
      <c r="H2" s="70"/>
      <c r="I2" s="71"/>
      <c r="J2" s="71"/>
      <c r="K2" s="35"/>
      <c r="L2" s="35"/>
      <c r="M2" s="72" t="s">
        <v>59</v>
      </c>
      <c r="N2" s="73"/>
      <c r="O2" s="268"/>
      <c r="P2" s="264"/>
    </row>
    <row r="3" spans="1:16" ht="15.75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2"/>
      <c r="M3" s="260" t="s">
        <v>61</v>
      </c>
      <c r="N3" s="261"/>
      <c r="O3" s="258"/>
      <c r="P3" s="259"/>
    </row>
    <row r="4" spans="1:16" ht="15.75" thickBot="1" x14ac:dyDescent="0.3">
      <c r="A4" s="256" t="s">
        <v>34</v>
      </c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</row>
    <row r="5" spans="1:16" ht="15.75" thickBot="1" x14ac:dyDescent="0.3">
      <c r="A5" s="256"/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78" t="s">
        <v>41</v>
      </c>
      <c r="D37" s="279"/>
      <c r="E37" s="283" t="s">
        <v>45</v>
      </c>
      <c r="F37" s="284"/>
      <c r="G37" s="285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57"/>
      <c r="D38" s="257"/>
      <c r="E38" s="286">
        <v>0</v>
      </c>
      <c r="F38" s="287"/>
      <c r="G38" s="288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1"/>
      <c r="D39" s="251"/>
      <c r="E39" s="286">
        <v>0</v>
      </c>
      <c r="F39" s="287"/>
      <c r="G39" s="288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2"/>
      <c r="D40" s="252"/>
      <c r="E40" s="286">
        <v>0</v>
      </c>
      <c r="F40" s="287"/>
      <c r="G40" s="288"/>
      <c r="H40" s="61"/>
      <c r="I40" s="289"/>
      <c r="J40" s="289"/>
      <c r="K40" s="289"/>
      <c r="L40" s="289"/>
      <c r="M40" s="289"/>
      <c r="N40" s="289"/>
      <c r="O40" s="289"/>
      <c r="P40" s="35"/>
    </row>
    <row r="41" spans="1:16" ht="25.5" x14ac:dyDescent="0.25">
      <c r="A41" s="186" t="s">
        <v>37</v>
      </c>
      <c r="B41" s="10"/>
      <c r="C41" s="251"/>
      <c r="D41" s="251"/>
      <c r="E41" s="286">
        <v>0</v>
      </c>
      <c r="F41" s="287"/>
      <c r="G41" s="288"/>
      <c r="H41" s="61"/>
      <c r="I41" s="290"/>
      <c r="J41" s="290"/>
      <c r="K41" s="290"/>
      <c r="L41" s="290"/>
      <c r="M41" s="290"/>
      <c r="N41" s="290"/>
      <c r="O41" s="290"/>
      <c r="P41" s="35"/>
    </row>
    <row r="42" spans="1:16" ht="25.5" x14ac:dyDescent="0.25">
      <c r="A42" s="186" t="s">
        <v>38</v>
      </c>
      <c r="B42" s="10"/>
      <c r="C42" s="275"/>
      <c r="D42" s="277"/>
      <c r="E42" s="291"/>
      <c r="F42" s="292"/>
      <c r="G42" s="293"/>
      <c r="H42" s="61"/>
      <c r="I42" s="290"/>
      <c r="J42" s="290"/>
      <c r="K42" s="290"/>
      <c r="L42" s="290"/>
      <c r="M42" s="290"/>
      <c r="N42" s="290"/>
      <c r="O42" s="290"/>
      <c r="P42" s="35"/>
    </row>
    <row r="43" spans="1:16" x14ac:dyDescent="0.25">
      <c r="A43" s="186" t="s">
        <v>40</v>
      </c>
      <c r="B43" s="10"/>
      <c r="C43" s="275"/>
      <c r="D43" s="276"/>
      <c r="E43" s="291"/>
      <c r="F43" s="292"/>
      <c r="G43" s="293"/>
      <c r="H43" s="61"/>
      <c r="I43" s="290"/>
      <c r="J43" s="290"/>
      <c r="K43" s="290"/>
      <c r="L43" s="290"/>
      <c r="M43" s="290"/>
      <c r="N43" s="290"/>
      <c r="O43" s="290"/>
      <c r="P43" s="35"/>
    </row>
    <row r="44" spans="1:16" x14ac:dyDescent="0.25">
      <c r="A44" s="186" t="s">
        <v>39</v>
      </c>
      <c r="B44" s="10"/>
      <c r="C44" s="273"/>
      <c r="D44" s="274"/>
      <c r="E44" s="291"/>
      <c r="F44" s="292"/>
      <c r="G44" s="293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48"/>
      <c r="D45" s="248"/>
      <c r="E45" s="286">
        <f>M52</f>
        <v>0</v>
      </c>
      <c r="F45" s="287"/>
      <c r="G45" s="288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49"/>
      <c r="D46" s="249"/>
      <c r="E46" s="286">
        <f t="shared" ref="E46:E47" si="0">M53</f>
        <v>0</v>
      </c>
      <c r="F46" s="287"/>
      <c r="G46" s="288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0"/>
      <c r="D47" s="250"/>
      <c r="E47" s="296">
        <f t="shared" si="0"/>
        <v>0</v>
      </c>
      <c r="F47" s="297"/>
      <c r="G47" s="298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99">
        <f>SUM(E38:E47)</f>
        <v>0</v>
      </c>
      <c r="F48" s="300"/>
      <c r="G48" s="301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5" t="s">
        <v>57</v>
      </c>
      <c r="G50" s="306"/>
      <c r="H50" s="306"/>
      <c r="I50" s="306"/>
      <c r="J50" s="306"/>
      <c r="K50" s="306"/>
      <c r="L50" s="306"/>
      <c r="M50" s="307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08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09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0"/>
      <c r="N54" s="34"/>
      <c r="O54" s="304"/>
      <c r="P54" s="304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0"/>
      <c r="N55" s="34"/>
      <c r="O55" s="304"/>
      <c r="P55" s="304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1"/>
      <c r="C1" s="272"/>
      <c r="D1" s="69" t="s">
        <v>62</v>
      </c>
      <c r="E1" s="193"/>
      <c r="F1" s="194"/>
      <c r="G1" s="194"/>
      <c r="H1" s="294" t="s">
        <v>32</v>
      </c>
      <c r="I1" s="295"/>
      <c r="J1" s="262"/>
      <c r="K1" s="263"/>
      <c r="L1" s="264"/>
      <c r="M1" s="265" t="s">
        <v>60</v>
      </c>
      <c r="N1" s="261"/>
      <c r="O1" s="266"/>
      <c r="P1" s="267"/>
    </row>
    <row r="2" spans="1:16" ht="15.75" thickBot="1" x14ac:dyDescent="0.3">
      <c r="A2" s="70"/>
      <c r="B2" s="70"/>
      <c r="C2" s="71"/>
      <c r="D2" s="81" t="s">
        <v>63</v>
      </c>
      <c r="E2" s="253"/>
      <c r="F2" s="254"/>
      <c r="G2" s="255"/>
      <c r="H2" s="70"/>
      <c r="I2" s="71"/>
      <c r="J2" s="71"/>
      <c r="K2" s="35"/>
      <c r="L2" s="35"/>
      <c r="M2" s="72" t="s">
        <v>59</v>
      </c>
      <c r="N2" s="73"/>
      <c r="O2" s="268"/>
      <c r="P2" s="264"/>
    </row>
    <row r="3" spans="1:16" ht="15.75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2"/>
      <c r="M3" s="260" t="s">
        <v>61</v>
      </c>
      <c r="N3" s="261"/>
      <c r="O3" s="258"/>
      <c r="P3" s="259"/>
    </row>
    <row r="4" spans="1:16" ht="15.75" thickBot="1" x14ac:dyDescent="0.3">
      <c r="A4" s="256" t="s">
        <v>68</v>
      </c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</row>
    <row r="5" spans="1:16" ht="15.75" thickBot="1" x14ac:dyDescent="0.3">
      <c r="A5" s="256"/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78" t="s">
        <v>41</v>
      </c>
      <c r="D37" s="279"/>
      <c r="E37" s="283" t="s">
        <v>45</v>
      </c>
      <c r="F37" s="284"/>
      <c r="G37" s="285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57"/>
      <c r="D38" s="257"/>
      <c r="E38" s="286">
        <v>0</v>
      </c>
      <c r="F38" s="287"/>
      <c r="G38" s="288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1"/>
      <c r="D39" s="251"/>
      <c r="E39" s="286">
        <v>0</v>
      </c>
      <c r="F39" s="287"/>
      <c r="G39" s="288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2"/>
      <c r="D40" s="252"/>
      <c r="E40" s="286">
        <v>0</v>
      </c>
      <c r="F40" s="287"/>
      <c r="G40" s="288"/>
      <c r="H40" s="61"/>
      <c r="I40" s="289"/>
      <c r="J40" s="289"/>
      <c r="K40" s="289"/>
      <c r="L40" s="289"/>
      <c r="M40" s="289"/>
      <c r="N40" s="289"/>
      <c r="O40" s="289"/>
      <c r="P40" s="35"/>
    </row>
    <row r="41" spans="1:16" ht="25.5" x14ac:dyDescent="0.25">
      <c r="A41" s="186" t="s">
        <v>37</v>
      </c>
      <c r="B41" s="10"/>
      <c r="C41" s="251"/>
      <c r="D41" s="251"/>
      <c r="E41" s="286">
        <v>0</v>
      </c>
      <c r="F41" s="287"/>
      <c r="G41" s="288"/>
      <c r="H41" s="61"/>
      <c r="I41" s="290"/>
      <c r="J41" s="290"/>
      <c r="K41" s="290"/>
      <c r="L41" s="290"/>
      <c r="M41" s="290"/>
      <c r="N41" s="290"/>
      <c r="O41" s="290"/>
      <c r="P41" s="35"/>
    </row>
    <row r="42" spans="1:16" ht="25.5" x14ac:dyDescent="0.25">
      <c r="A42" s="186" t="s">
        <v>38</v>
      </c>
      <c r="B42" s="10"/>
      <c r="C42" s="275"/>
      <c r="D42" s="277"/>
      <c r="E42" s="291"/>
      <c r="F42" s="292"/>
      <c r="G42" s="293"/>
      <c r="H42" s="61"/>
      <c r="I42" s="290"/>
      <c r="J42" s="290"/>
      <c r="K42" s="290"/>
      <c r="L42" s="290"/>
      <c r="M42" s="290"/>
      <c r="N42" s="290"/>
      <c r="O42" s="290"/>
      <c r="P42" s="35"/>
    </row>
    <row r="43" spans="1:16" x14ac:dyDescent="0.25">
      <c r="A43" s="186" t="s">
        <v>40</v>
      </c>
      <c r="B43" s="10"/>
      <c r="C43" s="275"/>
      <c r="D43" s="276"/>
      <c r="E43" s="291"/>
      <c r="F43" s="292"/>
      <c r="G43" s="293"/>
      <c r="H43" s="61"/>
      <c r="I43" s="290"/>
      <c r="J43" s="290"/>
      <c r="K43" s="290"/>
      <c r="L43" s="290"/>
      <c r="M43" s="290"/>
      <c r="N43" s="290"/>
      <c r="O43" s="290"/>
      <c r="P43" s="35"/>
    </row>
    <row r="44" spans="1:16" x14ac:dyDescent="0.25">
      <c r="A44" s="186" t="s">
        <v>39</v>
      </c>
      <c r="B44" s="10"/>
      <c r="C44" s="273"/>
      <c r="D44" s="274"/>
      <c r="E44" s="291"/>
      <c r="F44" s="292"/>
      <c r="G44" s="293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48"/>
      <c r="D45" s="248"/>
      <c r="E45" s="286">
        <f>M52</f>
        <v>0</v>
      </c>
      <c r="F45" s="287"/>
      <c r="G45" s="288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49"/>
      <c r="D46" s="249"/>
      <c r="E46" s="286">
        <f t="shared" ref="E46:E47" si="0">M53</f>
        <v>0</v>
      </c>
      <c r="F46" s="287"/>
      <c r="G46" s="288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0"/>
      <c r="D47" s="250"/>
      <c r="E47" s="296">
        <f t="shared" si="0"/>
        <v>0</v>
      </c>
      <c r="F47" s="297"/>
      <c r="G47" s="298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99">
        <f>SUM(E38:E47)</f>
        <v>0</v>
      </c>
      <c r="F48" s="300"/>
      <c r="G48" s="301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5" t="s">
        <v>57</v>
      </c>
      <c r="G50" s="306"/>
      <c r="H50" s="306"/>
      <c r="I50" s="306"/>
      <c r="J50" s="306"/>
      <c r="K50" s="306"/>
      <c r="L50" s="306"/>
      <c r="M50" s="307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08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09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0"/>
      <c r="N54" s="34"/>
      <c r="O54" s="304"/>
      <c r="P54" s="304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0"/>
      <c r="N55" s="34"/>
      <c r="O55" s="304"/>
      <c r="P55" s="304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1"/>
      <c r="C1" s="272"/>
      <c r="D1" s="69" t="s">
        <v>62</v>
      </c>
      <c r="E1" s="193"/>
      <c r="F1" s="194"/>
      <c r="G1" s="194"/>
      <c r="H1" s="294" t="s">
        <v>32</v>
      </c>
      <c r="I1" s="295"/>
      <c r="J1" s="262"/>
      <c r="K1" s="263"/>
      <c r="L1" s="264"/>
      <c r="M1" s="265" t="s">
        <v>60</v>
      </c>
      <c r="N1" s="261"/>
      <c r="O1" s="266"/>
      <c r="P1" s="267"/>
    </row>
    <row r="2" spans="1:16" ht="15.75" thickBot="1" x14ac:dyDescent="0.3">
      <c r="A2" s="70"/>
      <c r="B2" s="70"/>
      <c r="C2" s="71"/>
      <c r="D2" s="81" t="s">
        <v>63</v>
      </c>
      <c r="E2" s="253"/>
      <c r="F2" s="254"/>
      <c r="G2" s="255"/>
      <c r="H2" s="70"/>
      <c r="I2" s="71"/>
      <c r="J2" s="71"/>
      <c r="K2" s="35"/>
      <c r="L2" s="35"/>
      <c r="M2" s="72" t="s">
        <v>59</v>
      </c>
      <c r="N2" s="73"/>
      <c r="O2" s="268"/>
      <c r="P2" s="264"/>
    </row>
    <row r="3" spans="1:16" ht="15.75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2"/>
      <c r="M3" s="260" t="s">
        <v>61</v>
      </c>
      <c r="N3" s="261"/>
      <c r="O3" s="258"/>
      <c r="P3" s="259"/>
    </row>
    <row r="4" spans="1:16" ht="15.75" thickBot="1" x14ac:dyDescent="0.3">
      <c r="A4" s="256" t="s">
        <v>67</v>
      </c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</row>
    <row r="5" spans="1:16" ht="15.75" thickBot="1" x14ac:dyDescent="0.3">
      <c r="A5" s="256"/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78" t="s">
        <v>41</v>
      </c>
      <c r="D37" s="279"/>
      <c r="E37" s="283" t="s">
        <v>45</v>
      </c>
      <c r="F37" s="284"/>
      <c r="G37" s="285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57"/>
      <c r="D38" s="257"/>
      <c r="E38" s="286">
        <v>0</v>
      </c>
      <c r="F38" s="287"/>
      <c r="G38" s="288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1"/>
      <c r="D39" s="251"/>
      <c r="E39" s="286">
        <v>0</v>
      </c>
      <c r="F39" s="287"/>
      <c r="G39" s="288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2"/>
      <c r="D40" s="252"/>
      <c r="E40" s="286">
        <v>0</v>
      </c>
      <c r="F40" s="287"/>
      <c r="G40" s="288"/>
      <c r="H40" s="61"/>
      <c r="I40" s="289"/>
      <c r="J40" s="289"/>
      <c r="K40" s="289"/>
      <c r="L40" s="289"/>
      <c r="M40" s="289"/>
      <c r="N40" s="289"/>
      <c r="O40" s="289"/>
      <c r="P40" s="35"/>
    </row>
    <row r="41" spans="1:16" ht="25.5" x14ac:dyDescent="0.25">
      <c r="A41" s="186" t="s">
        <v>37</v>
      </c>
      <c r="B41" s="10"/>
      <c r="C41" s="251"/>
      <c r="D41" s="251"/>
      <c r="E41" s="286">
        <v>0</v>
      </c>
      <c r="F41" s="287"/>
      <c r="G41" s="288"/>
      <c r="H41" s="61"/>
      <c r="I41" s="290"/>
      <c r="J41" s="290"/>
      <c r="K41" s="290"/>
      <c r="L41" s="290"/>
      <c r="M41" s="290"/>
      <c r="N41" s="290"/>
      <c r="O41" s="290"/>
      <c r="P41" s="35"/>
    </row>
    <row r="42" spans="1:16" ht="25.5" x14ac:dyDescent="0.25">
      <c r="A42" s="186" t="s">
        <v>38</v>
      </c>
      <c r="B42" s="10"/>
      <c r="C42" s="275"/>
      <c r="D42" s="277"/>
      <c r="E42" s="291"/>
      <c r="F42" s="292"/>
      <c r="G42" s="293"/>
      <c r="H42" s="61"/>
      <c r="I42" s="290"/>
      <c r="J42" s="290"/>
      <c r="K42" s="290"/>
      <c r="L42" s="290"/>
      <c r="M42" s="290"/>
      <c r="N42" s="290"/>
      <c r="O42" s="290"/>
      <c r="P42" s="35"/>
    </row>
    <row r="43" spans="1:16" x14ac:dyDescent="0.25">
      <c r="A43" s="186" t="s">
        <v>40</v>
      </c>
      <c r="B43" s="10"/>
      <c r="C43" s="275"/>
      <c r="D43" s="276"/>
      <c r="E43" s="291"/>
      <c r="F43" s="292"/>
      <c r="G43" s="293"/>
      <c r="H43" s="61"/>
      <c r="I43" s="290"/>
      <c r="J43" s="290"/>
      <c r="K43" s="290"/>
      <c r="L43" s="290"/>
      <c r="M43" s="290"/>
      <c r="N43" s="290"/>
      <c r="O43" s="290"/>
      <c r="P43" s="35"/>
    </row>
    <row r="44" spans="1:16" x14ac:dyDescent="0.25">
      <c r="A44" s="186" t="s">
        <v>39</v>
      </c>
      <c r="B44" s="10"/>
      <c r="C44" s="273"/>
      <c r="D44" s="274"/>
      <c r="E44" s="291"/>
      <c r="F44" s="292"/>
      <c r="G44" s="293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48"/>
      <c r="D45" s="248"/>
      <c r="E45" s="286">
        <f>M52</f>
        <v>0</v>
      </c>
      <c r="F45" s="287"/>
      <c r="G45" s="288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49"/>
      <c r="D46" s="249"/>
      <c r="E46" s="286">
        <f t="shared" ref="E46:E47" si="0">M53</f>
        <v>0</v>
      </c>
      <c r="F46" s="287"/>
      <c r="G46" s="288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0"/>
      <c r="D47" s="250"/>
      <c r="E47" s="296">
        <f t="shared" si="0"/>
        <v>0</v>
      </c>
      <c r="F47" s="297"/>
      <c r="G47" s="298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99">
        <f>SUM(E38:E47)</f>
        <v>0</v>
      </c>
      <c r="F48" s="300"/>
      <c r="G48" s="301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5" t="s">
        <v>57</v>
      </c>
      <c r="G50" s="306"/>
      <c r="H50" s="306"/>
      <c r="I50" s="306"/>
      <c r="J50" s="306"/>
      <c r="K50" s="306"/>
      <c r="L50" s="306"/>
      <c r="M50" s="307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08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09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0"/>
      <c r="N54" s="34"/>
      <c r="O54" s="304"/>
      <c r="P54" s="304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0"/>
      <c r="N55" s="34"/>
      <c r="O55" s="304"/>
      <c r="P55" s="304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1"/>
      <c r="C1" s="312"/>
      <c r="D1" s="226" t="s">
        <v>62</v>
      </c>
      <c r="E1" s="227"/>
      <c r="F1" s="228"/>
      <c r="G1" s="229"/>
      <c r="H1" s="313"/>
      <c r="I1" s="314"/>
      <c r="J1" s="314"/>
      <c r="K1" s="315"/>
      <c r="L1" s="315"/>
      <c r="M1" s="316"/>
      <c r="N1" s="315"/>
      <c r="O1" s="317"/>
      <c r="P1" s="317"/>
    </row>
    <row r="2" spans="1:16" ht="15.75" thickBot="1" x14ac:dyDescent="0.3">
      <c r="A2" s="256"/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</row>
    <row r="3" spans="1:16" ht="15.75" hidden="1" thickBot="1" x14ac:dyDescent="0.3">
      <c r="A3" s="256"/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2026-03-18T14:21:57Z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