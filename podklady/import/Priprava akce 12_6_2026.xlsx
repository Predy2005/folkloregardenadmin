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149704CD-76FA-42DF-80A3-D7C86ACDCFDE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E47" i="5"/>
  <c r="E46" i="5"/>
  <c r="E45" i="5"/>
  <c r="I35" i="5"/>
  <c r="C52" i="5" s="1"/>
  <c r="H35" i="5"/>
  <c r="B52" i="5" s="1"/>
  <c r="G35" i="5"/>
  <c r="D52" i="5" s="1"/>
  <c r="D56" i="5" s="1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4" i="1"/>
  <c r="C54" i="1"/>
  <c r="B54" i="1"/>
  <c r="C55" i="1"/>
  <c r="B55" i="1"/>
  <c r="D53" i="1"/>
  <c r="C53" i="1"/>
  <c r="B53" i="1"/>
  <c r="I35" i="1"/>
  <c r="C52" i="1" s="1"/>
  <c r="D56" i="3" l="1"/>
  <c r="B56" i="4"/>
  <c r="B58" i="4" s="1"/>
  <c r="C56" i="5"/>
  <c r="C58" i="5" s="1"/>
  <c r="D56" i="4"/>
  <c r="D58" i="4" s="1"/>
  <c r="C56" i="1"/>
  <c r="C60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C60" i="5"/>
  <c r="D60" i="5"/>
  <c r="D58" i="5"/>
  <c r="D60" i="4"/>
  <c r="D60" i="3"/>
  <c r="D58" i="3"/>
  <c r="C60" i="3"/>
  <c r="C58" i="1" l="1"/>
  <c r="B60" i="3"/>
  <c r="C60" i="4"/>
  <c r="B60" i="5"/>
  <c r="E45" i="1"/>
  <c r="D55" i="1"/>
  <c r="E46" i="1"/>
  <c r="E47" i="1"/>
  <c r="E35" i="1"/>
  <c r="D35" i="1"/>
  <c r="H35" i="1"/>
  <c r="B52" i="1" s="1"/>
  <c r="B56" i="1" s="1"/>
  <c r="B58" i="1" s="1"/>
  <c r="G35" i="1"/>
  <c r="D52" i="1" s="1"/>
  <c r="D56" i="1" s="1"/>
  <c r="E48" i="1" l="1"/>
  <c r="B59" i="1" s="1"/>
  <c r="B60" i="1" s="1"/>
  <c r="D60" i="1"/>
  <c r="D58" i="1"/>
</calcChain>
</file>

<file path=xl/sharedStrings.xml><?xml version="1.0" encoding="utf-8"?>
<sst xmlns="http://schemas.openxmlformats.org/spreadsheetml/2006/main" count="357" uniqueCount="110">
  <si>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</si>
  <si>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</si>
  <si>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</si>
  <si>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</si>
  <si>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</si>
  <si>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</si>
  <si>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</si>
  <si>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</si>
  <si>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</si>
  <si>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</si>
  <si>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</si>
  <si>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</si>
  <si>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</si>
  <si>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</si>
  <si>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</si>
  <si>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</si>
  <si>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</si>
  <si>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</si>
  <si>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</si>
  <si>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</si>
  <si>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</si>
  <si>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</si>
  <si>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</si>
  <si>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</si>
  <si>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</si>
  <si>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</si>
  <si>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</si>
  <si>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</si>
  <si>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</si>
  <si>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</si>
  <si>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</si>
  <si>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</si>
  <si>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</si>
  <si>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</si>
  <si>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</si>
  <si>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</si>
  <si>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</si>
  <si>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</si>
  <si>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</si>
  <si>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</si>
  <si>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</si>
  <si>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</si>
  <si>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</si>
  <si>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</si>
  <si>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</si>
  <si>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</si>
  <si>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</si>
  <si>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</si>
  <si>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</si>
  <si>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</si>
  <si>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</si>
  <si>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</si>
  <si>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</si>
  <si>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</si>
  <si>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</si>
  <si>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</si>
  <si>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</si>
  <si>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</si>
  <si>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</si>
  <si>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</si>
  <si>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</si>
  <si>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</si>
  <si>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</si>
  <si>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</si>
  <si>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</si>
  <si>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</si>
  <si>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</si>
  <si>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</si>
  <si>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</si>
  <si>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upřesnit</t>
  </si>
  <si>
    <t>37 eur/os + 5 eur/příplatky KROMĚ LOSOSA; DEZERT PERNÍK ; platba u nás</t>
  </si>
  <si>
    <t>!trf KÓDY - skupiny zač. písmenem nesmí jet společně autobusem se skupinou zač. číslem</t>
  </si>
  <si>
    <t>Expat Explore MEH100626</t>
  </si>
  <si>
    <t>Fun in Prague</t>
  </si>
  <si>
    <t>Radisson Blu htl - Žitná</t>
  </si>
  <si>
    <t>James Skokan</t>
  </si>
  <si>
    <t>tradice</t>
  </si>
  <si>
    <t>neomezeně</t>
  </si>
  <si>
    <t>fa</t>
  </si>
  <si>
    <t>18:30 - 19:00</t>
  </si>
  <si>
    <t>rezervace dne 3/11 - změna adresy wa 3/11</t>
  </si>
  <si>
    <t>The Grand Mark - Hybernská</t>
  </si>
  <si>
    <t>Jose D Roman</t>
  </si>
  <si>
    <t>2x kosher</t>
  </si>
  <si>
    <t>rezervace 23/12</t>
  </si>
  <si>
    <t>Chodov Tour, sk. POLAN</t>
  </si>
  <si>
    <t>privátka Kovárna 20:30-23:00</t>
  </si>
  <si>
    <t>55 osob</t>
  </si>
  <si>
    <t>tradiční</t>
  </si>
  <si>
    <t>Polsko</t>
  </si>
  <si>
    <t>950 Kč/privátní show/os. , fa</t>
  </si>
  <si>
    <t>x</t>
  </si>
  <si>
    <t>Met travel MET 0706 BVP</t>
  </si>
  <si>
    <t xml:space="preserve">losos + kuře </t>
  </si>
  <si>
    <t>Turecko</t>
  </si>
  <si>
    <t>rezervace dne 18/3 J</t>
  </si>
  <si>
    <t>rezervace 29/9 potvrzeno 18/3 T</t>
  </si>
  <si>
    <t>Rachelle 0049 16096497129</t>
  </si>
  <si>
    <t xml:space="preserve">37 eur/os, u nás   </t>
  </si>
  <si>
    <t>Guusgo</t>
  </si>
  <si>
    <t>38 eur/os. U nás?</t>
  </si>
  <si>
    <t>rezervace dne 24/3 WA, Kam</t>
  </si>
  <si>
    <t>Jerome Incoming</t>
  </si>
  <si>
    <t>1 drink</t>
  </si>
  <si>
    <t>poptávka dne 25/3 Kam</t>
  </si>
  <si>
    <t>Lider Tour</t>
  </si>
  <si>
    <t>900 Kč/os. , proforma</t>
  </si>
  <si>
    <t>rezervace dne 30/3 bude???</t>
  </si>
  <si>
    <t>¨poslat proformu</t>
  </si>
  <si>
    <t>storno 7/4 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</si>
</sst>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8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trike/>
      <sz val="1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7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10" fillId="8" borderId="22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  <xf numFmtId="0" fontId="17" fillId="8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20" fontId="15" fillId="8" borderId="6" xfId="1" applyNumberFormat="1" applyFont="1" applyFill="1" applyBorder="1" applyAlignment="1">
      <alignment horizontal="center" vertical="center" wrapText="1"/>
    </xf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5"/>
  <sheetViews>
    <sheetView windowProtection="1" tabSelected="1" zoomScaleNormal="100" workbookViewId="0">
      <pane ySplit="6" topLeftCell="A7" activePane="bottomLeft" state="frozen"/>
      <selection pane="bottomLeft" activeCell="Q10" sqref="Q10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8" t="s">
        <v>32</v>
      </c>
      <c r="I1" s="299"/>
      <c r="J1" s="266"/>
      <c r="K1" s="267"/>
      <c r="L1" s="268"/>
      <c r="M1" s="269" t="s">
        <v>60</v>
      </c>
      <c r="N1" s="265"/>
      <c r="O1" s="270"/>
      <c r="P1" s="271"/>
    </row>
    <row r="2" spans="1:17" ht="18" customHeight="1" thickBot="1" x14ac:dyDescent="0.3">
      <c r="A2" s="70"/>
      <c r="B2" s="70"/>
      <c r="C2" s="71"/>
      <c r="D2" s="81" t="s">
        <v>63</v>
      </c>
      <c r="E2" s="257"/>
      <c r="F2" s="258"/>
      <c r="G2" s="259"/>
      <c r="H2" s="70"/>
      <c r="I2" s="71"/>
      <c r="J2" s="71"/>
      <c r="K2" s="35"/>
      <c r="L2" s="35"/>
      <c r="M2" s="72" t="s">
        <v>59</v>
      </c>
      <c r="N2" s="73"/>
      <c r="O2" s="272"/>
      <c r="P2" s="268"/>
    </row>
    <row r="3" spans="1:17" ht="18" customHeight="1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264" t="s">
        <v>61</v>
      </c>
      <c r="N3" s="265"/>
      <c r="O3" s="262"/>
      <c r="P3" s="263"/>
    </row>
    <row r="4" spans="1:17" ht="15.75" thickBot="1" x14ac:dyDescent="0.3">
      <c r="A4" s="260" t="s">
        <v>64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7" ht="15.75" hidden="1" thickBot="1" x14ac:dyDescent="0.3">
      <c r="A5" s="260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s="1" customFormat="1" ht="51" x14ac:dyDescent="0.25">
      <c r="A9" s="322" t="s">
        <v>85</v>
      </c>
      <c r="B9" s="323" t="s">
        <v>87</v>
      </c>
      <c r="C9" s="324" t="s">
        <v>86</v>
      </c>
      <c r="D9" s="324"/>
      <c r="E9" s="324"/>
      <c r="F9" s="324"/>
      <c r="G9" s="324"/>
      <c r="H9" s="324"/>
      <c r="I9" s="324"/>
      <c r="J9" s="324" t="s">
        <v>88</v>
      </c>
      <c r="K9" s="325" t="s">
        <v>77</v>
      </c>
      <c r="L9" s="324" t="s">
        <v>89</v>
      </c>
      <c r="M9" s="323" t="s">
        <v>90</v>
      </c>
      <c r="N9" s="326" t="s">
        <v>91</v>
      </c>
      <c r="O9" s="326"/>
      <c r="P9" s="250" t="s">
        <v>109</v>
      </c>
      <c r="Q9" s="6"/>
    </row>
    <row r="10" spans="1:17" s="1" customFormat="1" ht="127.5" x14ac:dyDescent="0.25">
      <c r="A10" s="105" t="s">
        <v>72</v>
      </c>
      <c r="B10" s="101" t="s">
        <v>69</v>
      </c>
      <c r="C10" s="248" t="s">
        <v>97</v>
      </c>
      <c r="D10" s="248">
        <v>20</v>
      </c>
      <c r="E10" s="248"/>
      <c r="F10" s="248"/>
      <c r="G10" s="248"/>
      <c r="H10" s="248"/>
      <c r="I10" s="248"/>
      <c r="J10" s="248" t="s">
        <v>69</v>
      </c>
      <c r="K10" s="249" t="s">
        <v>69</v>
      </c>
      <c r="L10" s="248"/>
      <c r="M10" s="101" t="s">
        <v>70</v>
      </c>
      <c r="N10" s="129">
        <v>0.79166666666666663</v>
      </c>
      <c r="O10" s="129" t="s">
        <v>71</v>
      </c>
      <c r="P10" s="250" t="s">
        <v>96</v>
      </c>
      <c r="Q10" s="6"/>
    </row>
    <row r="11" spans="1:17" s="1" customFormat="1" ht="39" x14ac:dyDescent="0.25">
      <c r="A11" s="105" t="s">
        <v>73</v>
      </c>
      <c r="B11" s="106" t="s">
        <v>74</v>
      </c>
      <c r="C11" s="107" t="s">
        <v>75</v>
      </c>
      <c r="D11" s="107">
        <v>2</v>
      </c>
      <c r="E11" s="107"/>
      <c r="F11" s="107"/>
      <c r="G11" s="107"/>
      <c r="H11" s="107"/>
      <c r="I11" s="107"/>
      <c r="J11" s="107" t="s">
        <v>76</v>
      </c>
      <c r="K11" s="128" t="s">
        <v>77</v>
      </c>
      <c r="L11" s="107"/>
      <c r="M11" s="106" t="s">
        <v>78</v>
      </c>
      <c r="N11" s="129" t="s">
        <v>79</v>
      </c>
      <c r="O11" s="129"/>
      <c r="P11" s="251" t="s">
        <v>80</v>
      </c>
      <c r="Q11" s="6"/>
    </row>
    <row r="12" spans="1:17" ht="26.25" x14ac:dyDescent="0.25">
      <c r="A12" s="105" t="s">
        <v>73</v>
      </c>
      <c r="B12" s="101" t="s">
        <v>81</v>
      </c>
      <c r="C12" s="102" t="s">
        <v>82</v>
      </c>
      <c r="D12" s="102">
        <v>2</v>
      </c>
      <c r="E12" s="102"/>
      <c r="F12" s="102"/>
      <c r="G12" s="102"/>
      <c r="H12" s="102"/>
      <c r="I12" s="102"/>
      <c r="J12" s="107" t="s">
        <v>83</v>
      </c>
      <c r="K12" s="128" t="s">
        <v>77</v>
      </c>
      <c r="L12" s="102"/>
      <c r="M12" s="101" t="s">
        <v>78</v>
      </c>
      <c r="N12" s="129" t="s">
        <v>79</v>
      </c>
      <c r="O12" s="129"/>
      <c r="P12" s="247" t="s">
        <v>84</v>
      </c>
    </row>
    <row r="13" spans="1:17" ht="26.25" x14ac:dyDescent="0.25">
      <c r="A13" s="110" t="s">
        <v>92</v>
      </c>
      <c r="B13" s="101" t="s">
        <v>91</v>
      </c>
      <c r="C13" s="102"/>
      <c r="D13" s="102">
        <v>20</v>
      </c>
      <c r="E13" s="102">
        <v>2</v>
      </c>
      <c r="F13" s="102"/>
      <c r="G13" s="102"/>
      <c r="H13" s="102"/>
      <c r="I13" s="102"/>
      <c r="J13" s="102" t="s">
        <v>93</v>
      </c>
      <c r="K13" s="102" t="s">
        <v>77</v>
      </c>
      <c r="L13" s="102" t="s">
        <v>94</v>
      </c>
      <c r="M13" s="101" t="s">
        <v>98</v>
      </c>
      <c r="N13" s="103" t="s">
        <v>91</v>
      </c>
      <c r="O13" s="103"/>
      <c r="P13" s="104" t="s">
        <v>95</v>
      </c>
    </row>
    <row r="14" spans="1:17" ht="26.25" x14ac:dyDescent="0.25">
      <c r="A14" s="110" t="s">
        <v>99</v>
      </c>
      <c r="B14" s="101" t="s">
        <v>91</v>
      </c>
      <c r="C14" s="102" t="s">
        <v>69</v>
      </c>
      <c r="D14" s="102">
        <v>19</v>
      </c>
      <c r="E14" s="102">
        <v>2</v>
      </c>
      <c r="F14" s="102"/>
      <c r="G14" s="102"/>
      <c r="H14" s="102"/>
      <c r="I14" s="102"/>
      <c r="J14" s="102" t="s">
        <v>69</v>
      </c>
      <c r="K14" s="102" t="s">
        <v>77</v>
      </c>
      <c r="L14" s="102" t="s">
        <v>69</v>
      </c>
      <c r="M14" s="101" t="s">
        <v>100</v>
      </c>
      <c r="N14" s="103" t="s">
        <v>91</v>
      </c>
      <c r="O14" s="103"/>
      <c r="P14" s="104" t="s">
        <v>101</v>
      </c>
    </row>
    <row r="15" spans="1:17" ht="26.25" x14ac:dyDescent="0.25">
      <c r="A15" s="111" t="s">
        <v>102</v>
      </c>
      <c r="B15" s="101"/>
      <c r="C15" s="102"/>
      <c r="D15" s="102">
        <v>45</v>
      </c>
      <c r="E15" s="102"/>
      <c r="F15" s="102"/>
      <c r="G15" s="102"/>
      <c r="H15" s="102"/>
      <c r="I15" s="102"/>
      <c r="J15" s="102" t="s">
        <v>69</v>
      </c>
      <c r="K15" s="102" t="s">
        <v>103</v>
      </c>
      <c r="L15" s="102" t="s">
        <v>69</v>
      </c>
      <c r="M15" s="101" t="s">
        <v>78</v>
      </c>
      <c r="N15" s="103" t="s">
        <v>91</v>
      </c>
      <c r="O15" s="103"/>
      <c r="P15" s="104" t="s">
        <v>104</v>
      </c>
    </row>
    <row r="16" spans="1:17" ht="26.25" x14ac:dyDescent="0.25">
      <c r="A16" s="111" t="s">
        <v>105</v>
      </c>
      <c r="B16" s="101" t="s">
        <v>91</v>
      </c>
      <c r="C16" s="102" t="s">
        <v>91</v>
      </c>
      <c r="D16" s="102">
        <v>50</v>
      </c>
      <c r="E16" s="102">
        <v>2</v>
      </c>
      <c r="F16" s="102"/>
      <c r="G16" s="102"/>
      <c r="H16" s="102"/>
      <c r="I16" s="102"/>
      <c r="J16" s="107" t="s">
        <v>76</v>
      </c>
      <c r="K16" s="128" t="s">
        <v>77</v>
      </c>
      <c r="L16" s="102" t="s">
        <v>89</v>
      </c>
      <c r="M16" s="101" t="s">
        <v>106</v>
      </c>
      <c r="N16" s="103" t="s">
        <v>91</v>
      </c>
      <c r="O16" s="103" t="s">
        <v>108</v>
      </c>
      <c r="P16" s="104" t="s">
        <v>107</v>
      </c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  <c r="Q20" s="2"/>
    </row>
    <row r="21" spans="1:17" s="3" customFormat="1" ht="16.5" customHeight="1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7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7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s="3" customFormat="1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7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7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25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25" s="3" customFormat="1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25" ht="21.75" customHeight="1" thickBot="1" x14ac:dyDescent="0.3">
      <c r="A35" s="66"/>
      <c r="B35" s="66"/>
      <c r="C35" s="67"/>
      <c r="D35" s="174">
        <f>SUM(D9:D34)</f>
        <v>158</v>
      </c>
      <c r="E35" s="174">
        <f>SUM(E9:E34)</f>
        <v>6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25" ht="18.75" customHeight="1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25" ht="15.7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96.75" customHeight="1" x14ac:dyDescent="0.25">
      <c r="A38" s="191" t="s">
        <v>35</v>
      </c>
      <c r="B38" s="12"/>
      <c r="C38" s="261"/>
      <c r="D38" s="261"/>
      <c r="E38" s="290">
        <v>0</v>
      </c>
      <c r="F38" s="291"/>
      <c r="G38" s="292"/>
      <c r="H38" s="61"/>
      <c r="I38" s="62"/>
      <c r="J38" s="35"/>
      <c r="K38" s="35"/>
      <c r="L38" s="35"/>
      <c r="M38" s="35"/>
      <c r="N38" s="35"/>
      <c r="O38" s="35"/>
      <c r="P38" s="35"/>
    </row>
    <row r="39" spans="1:25" s="3" customFormat="1" x14ac:dyDescent="0.25">
      <c r="A39" s="186" t="s">
        <v>31</v>
      </c>
      <c r="B39" s="9"/>
      <c r="C39" s="255"/>
      <c r="D39" s="255"/>
      <c r="E39" s="290">
        <v>0</v>
      </c>
      <c r="F39" s="291"/>
      <c r="G39" s="292"/>
      <c r="H39" s="61"/>
      <c r="I39" s="62"/>
      <c r="J39" s="62"/>
      <c r="K39" s="62"/>
      <c r="L39" s="62"/>
      <c r="M39" s="62"/>
      <c r="N39" s="62"/>
      <c r="O39" s="62"/>
      <c r="P39" s="62"/>
      <c r="R39" s="47"/>
      <c r="S39" s="47"/>
      <c r="T39" s="47"/>
      <c r="U39" s="47"/>
      <c r="V39" s="47"/>
      <c r="W39" s="47"/>
      <c r="X39" s="47"/>
      <c r="Y39" s="47"/>
    </row>
    <row r="40" spans="1:25" x14ac:dyDescent="0.25">
      <c r="A40" s="186" t="s">
        <v>36</v>
      </c>
      <c r="B40" s="10"/>
      <c r="C40" s="256"/>
      <c r="D40" s="256"/>
      <c r="E40" s="290">
        <v>0</v>
      </c>
      <c r="F40" s="291"/>
      <c r="G40" s="292"/>
      <c r="H40" s="61"/>
      <c r="I40" s="293"/>
      <c r="J40" s="293"/>
      <c r="K40" s="293"/>
      <c r="L40" s="293"/>
      <c r="M40" s="293"/>
      <c r="N40" s="293"/>
      <c r="O40" s="293"/>
      <c r="P40" s="35"/>
      <c r="R40" s="48"/>
      <c r="S40" s="48"/>
      <c r="T40" s="48"/>
      <c r="U40" s="48"/>
      <c r="V40" s="48"/>
      <c r="W40" s="48"/>
      <c r="X40" s="48"/>
      <c r="Y40" s="48"/>
    </row>
    <row r="41" spans="1:25" ht="66" customHeight="1" x14ac:dyDescent="0.25">
      <c r="A41" s="186" t="s">
        <v>37</v>
      </c>
      <c r="B41" s="10"/>
      <c r="C41" s="255"/>
      <c r="D41" s="255"/>
      <c r="E41" s="290">
        <v>0</v>
      </c>
      <c r="F41" s="291"/>
      <c r="G41" s="292"/>
      <c r="H41" s="61"/>
      <c r="I41" s="294"/>
      <c r="J41" s="294"/>
      <c r="K41" s="294"/>
      <c r="L41" s="294"/>
      <c r="M41" s="294"/>
      <c r="N41" s="294"/>
      <c r="O41" s="294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18" customHeight="1" x14ac:dyDescent="0.25">
      <c r="A42" s="186" t="s">
        <v>38</v>
      </c>
      <c r="B42" s="10"/>
      <c r="C42" s="279"/>
      <c r="D42" s="281"/>
      <c r="E42" s="295"/>
      <c r="F42" s="296"/>
      <c r="G42" s="297"/>
      <c r="H42" s="61"/>
      <c r="I42" s="294"/>
      <c r="J42" s="294"/>
      <c r="K42" s="294"/>
      <c r="L42" s="294"/>
      <c r="M42" s="294"/>
      <c r="N42" s="294"/>
      <c r="O42" s="294"/>
      <c r="P42" s="35"/>
      <c r="R42" s="274"/>
      <c r="S42" s="274"/>
      <c r="T42" s="274"/>
      <c r="U42" s="274"/>
      <c r="V42" s="274"/>
      <c r="W42" s="274"/>
      <c r="X42" s="274"/>
      <c r="Y42" s="274"/>
    </row>
    <row r="43" spans="1:25" ht="43.5" customHeight="1" x14ac:dyDescent="0.25">
      <c r="A43" s="186" t="s">
        <v>40</v>
      </c>
      <c r="B43" s="10"/>
      <c r="C43" s="279"/>
      <c r="D43" s="280"/>
      <c r="E43" s="295"/>
      <c r="F43" s="296"/>
      <c r="G43" s="297"/>
      <c r="H43" s="61"/>
      <c r="I43" s="294"/>
      <c r="J43" s="294"/>
      <c r="K43" s="294"/>
      <c r="L43" s="294"/>
      <c r="M43" s="294"/>
      <c r="N43" s="294"/>
      <c r="O43" s="294"/>
      <c r="P43" s="35"/>
      <c r="R43" s="49"/>
      <c r="S43" s="50"/>
      <c r="T43" s="50"/>
      <c r="U43" s="50"/>
      <c r="V43" s="50"/>
      <c r="W43" s="50"/>
      <c r="X43" s="50"/>
      <c r="Y43" s="50"/>
    </row>
    <row r="44" spans="1:25" s="3" customFormat="1" ht="45.75" customHeight="1" x14ac:dyDescent="0.25">
      <c r="A44" s="186" t="s">
        <v>39</v>
      </c>
      <c r="B44" s="10"/>
      <c r="C44" s="277"/>
      <c r="D44" s="278"/>
      <c r="E44" s="295"/>
      <c r="F44" s="296"/>
      <c r="G44" s="297"/>
      <c r="H44" s="61"/>
      <c r="I44" s="62"/>
      <c r="J44" s="62"/>
      <c r="K44" s="62"/>
      <c r="L44" s="62"/>
      <c r="M44" s="62"/>
      <c r="N44" s="62"/>
      <c r="O44" s="62"/>
      <c r="P44" s="62"/>
      <c r="R44" s="51"/>
      <c r="S44" s="52"/>
      <c r="T44" s="52"/>
      <c r="U44" s="53"/>
      <c r="V44" s="54"/>
      <c r="W44" s="55"/>
      <c r="X44" s="56"/>
      <c r="Y44" s="273"/>
    </row>
    <row r="45" spans="1:25" x14ac:dyDescent="0.25">
      <c r="A45" s="186" t="s">
        <v>43</v>
      </c>
      <c r="B45" s="10"/>
      <c r="C45" s="252"/>
      <c r="D45" s="252"/>
      <c r="E45" s="290">
        <f>M52</f>
        <v>0</v>
      </c>
      <c r="F45" s="291"/>
      <c r="G45" s="292"/>
      <c r="H45" s="61"/>
      <c r="I45" s="61"/>
      <c r="J45" s="35"/>
      <c r="K45" s="35"/>
      <c r="L45" s="35"/>
      <c r="M45" s="35"/>
      <c r="N45" s="35"/>
      <c r="O45" s="35"/>
      <c r="P45" s="35"/>
      <c r="R45" s="51"/>
      <c r="S45" s="49"/>
      <c r="T45" s="49"/>
      <c r="U45" s="57"/>
      <c r="V45" s="58"/>
      <c r="W45" s="59"/>
      <c r="X45" s="60"/>
      <c r="Y45" s="273"/>
    </row>
    <row r="46" spans="1:25" x14ac:dyDescent="0.25">
      <c r="A46" s="186" t="s">
        <v>19</v>
      </c>
      <c r="B46" s="10"/>
      <c r="C46" s="253"/>
      <c r="D46" s="253"/>
      <c r="E46" s="290">
        <f t="shared" ref="E46:E47" si="0">M53</f>
        <v>0</v>
      </c>
      <c r="F46" s="291"/>
      <c r="G46" s="292"/>
      <c r="H46" s="61"/>
      <c r="I46" s="61"/>
      <c r="J46" s="61"/>
      <c r="K46" s="61"/>
      <c r="L46" s="63"/>
      <c r="M46" s="63"/>
      <c r="N46" s="63"/>
      <c r="O46" s="63"/>
      <c r="P46" s="35"/>
      <c r="R46" s="51"/>
      <c r="S46" s="52"/>
      <c r="T46" s="52"/>
      <c r="U46" s="53"/>
      <c r="V46" s="54"/>
      <c r="W46" s="55"/>
      <c r="X46" s="56"/>
      <c r="Y46" s="273"/>
    </row>
    <row r="47" spans="1:25" ht="15.75" thickBot="1" x14ac:dyDescent="0.3">
      <c r="A47" s="187" t="s">
        <v>44</v>
      </c>
      <c r="B47" s="11"/>
      <c r="C47" s="254"/>
      <c r="D47" s="254"/>
      <c r="E47" s="300">
        <f t="shared" si="0"/>
        <v>0</v>
      </c>
      <c r="F47" s="301"/>
      <c r="G47" s="302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49"/>
      <c r="T47" s="49"/>
      <c r="U47" s="57"/>
      <c r="V47" s="58"/>
      <c r="W47" s="59"/>
      <c r="X47" s="60"/>
      <c r="Y47" s="273"/>
    </row>
    <row r="48" spans="1:25" ht="24" customHeight="1" thickBot="1" x14ac:dyDescent="0.3">
      <c r="A48" s="65"/>
      <c r="B48" s="65"/>
      <c r="C48" s="65"/>
      <c r="D48" s="206" t="s">
        <v>46</v>
      </c>
      <c r="E48" s="303">
        <f>SUM(E38:E47)</f>
        <v>0</v>
      </c>
      <c r="F48" s="304"/>
      <c r="G48" s="305"/>
      <c r="H48" s="64"/>
      <c r="I48" s="64"/>
      <c r="J48" s="61"/>
      <c r="K48" s="61"/>
      <c r="L48" s="63"/>
      <c r="M48" s="63"/>
      <c r="N48" s="63"/>
      <c r="O48" s="63"/>
      <c r="P48" s="35"/>
      <c r="Q48" s="15"/>
      <c r="R48" s="14"/>
      <c r="S48" s="13"/>
      <c r="V48" s="4"/>
      <c r="W48" s="4"/>
      <c r="X48" s="5"/>
      <c r="Y48" s="5"/>
    </row>
    <row r="49" spans="1:27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  <c r="Q49" s="15"/>
      <c r="R49" s="15"/>
      <c r="S49" s="15"/>
    </row>
    <row r="50" spans="1:27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9" t="s">
        <v>57</v>
      </c>
      <c r="G50" s="310"/>
      <c r="H50" s="310"/>
      <c r="I50" s="310"/>
      <c r="J50" s="310"/>
      <c r="K50" s="310"/>
      <c r="L50" s="310"/>
      <c r="M50" s="311"/>
      <c r="N50" s="27"/>
      <c r="O50" s="27"/>
      <c r="P50" s="16"/>
      <c r="Q50" s="17"/>
      <c r="R50" s="17"/>
      <c r="S50" s="17"/>
      <c r="U50" s="15"/>
      <c r="V50" s="15"/>
      <c r="W50" s="15"/>
      <c r="X50" s="15"/>
      <c r="Y50" s="15"/>
      <c r="Z50" s="15"/>
      <c r="AA50" s="15"/>
    </row>
    <row r="51" spans="1:27" ht="26.25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  <c r="Q51" s="19"/>
      <c r="R51" s="20"/>
      <c r="S51" s="19"/>
      <c r="U51" s="306"/>
      <c r="V51" s="306"/>
      <c r="W51" s="306"/>
      <c r="X51" s="306"/>
      <c r="Y51" s="306"/>
      <c r="Z51" s="306"/>
      <c r="AA51" s="306"/>
    </row>
    <row r="52" spans="1:27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2"/>
      <c r="N52" s="16"/>
      <c r="O52" s="16"/>
      <c r="P52" s="16"/>
      <c r="Q52" s="19"/>
      <c r="R52" s="20"/>
      <c r="S52" s="19"/>
      <c r="U52" s="307"/>
      <c r="V52" s="307"/>
      <c r="W52" s="307"/>
      <c r="X52" s="307"/>
      <c r="Y52" s="307"/>
      <c r="Z52" s="307"/>
      <c r="AA52" s="307"/>
    </row>
    <row r="53" spans="1:27" ht="15.75" customHeight="1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3"/>
      <c r="N53" s="26"/>
      <c r="O53" s="26"/>
      <c r="P53" s="26"/>
      <c r="Q53" s="19"/>
      <c r="R53" s="20"/>
      <c r="S53" s="19"/>
      <c r="U53" s="307"/>
      <c r="V53" s="307"/>
      <c r="W53" s="307"/>
      <c r="X53" s="307"/>
      <c r="Y53" s="307"/>
      <c r="Z53" s="307"/>
      <c r="AA53" s="307"/>
    </row>
    <row r="54" spans="1:27" ht="15" customHeight="1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4"/>
      <c r="N54" s="34"/>
      <c r="O54" s="308"/>
      <c r="P54" s="308"/>
      <c r="Q54" s="19"/>
      <c r="R54" s="20"/>
      <c r="S54" s="19"/>
      <c r="U54" s="307"/>
      <c r="V54" s="307"/>
      <c r="W54" s="307"/>
      <c r="X54" s="307"/>
      <c r="Y54" s="307"/>
      <c r="Z54" s="307"/>
      <c r="AA54" s="307"/>
    </row>
    <row r="55" spans="1:27" ht="15.75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4"/>
      <c r="N55" s="34"/>
      <c r="O55" s="308"/>
      <c r="P55" s="308"/>
      <c r="Q55" s="21"/>
      <c r="R55" s="20"/>
      <c r="S55" s="19"/>
    </row>
    <row r="56" spans="1:27" ht="15.75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  <c r="Q56" s="22"/>
      <c r="R56" s="23"/>
      <c r="S56" s="22"/>
    </row>
    <row r="57" spans="1:27" ht="15.75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  <c r="Q57" s="24"/>
      <c r="R57" s="25"/>
      <c r="S57" s="24"/>
    </row>
    <row r="58" spans="1:27" ht="27" customHeight="1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1.75" customHeight="1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x14ac:dyDescent="0.25">
      <c r="E61" s="35"/>
      <c r="F61" s="35"/>
      <c r="G61" s="35"/>
      <c r="H61" s="35"/>
      <c r="I61" s="35"/>
      <c r="J61" s="35"/>
      <c r="K61" s="35"/>
      <c r="L61" s="79"/>
      <c r="M61" s="79"/>
      <c r="N61" s="79"/>
      <c r="O61" s="79"/>
      <c r="P61" s="35"/>
      <c r="Q61" s="15"/>
      <c r="R61" s="15"/>
      <c r="S61" s="15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</row>
    <row r="65" ht="37.5" customHeight="1" x14ac:dyDescent="0.25"/>
  </sheetData>
  <mergeCells count="46">
    <mergeCell ref="E47:G47"/>
    <mergeCell ref="E48:G48"/>
    <mergeCell ref="E43:G43"/>
    <mergeCell ref="U51:AA51"/>
    <mergeCell ref="U52:AA54"/>
    <mergeCell ref="O54:O55"/>
    <mergeCell ref="P54:P55"/>
    <mergeCell ref="F50:M50"/>
    <mergeCell ref="M52:M53"/>
    <mergeCell ref="M54:M55"/>
    <mergeCell ref="E45:G45"/>
    <mergeCell ref="E46:G46"/>
    <mergeCell ref="B1:C1"/>
    <mergeCell ref="C44:D44"/>
    <mergeCell ref="C43:D43"/>
    <mergeCell ref="C42:D42"/>
    <mergeCell ref="C37:D37"/>
    <mergeCell ref="A3:L3"/>
    <mergeCell ref="E37:G37"/>
    <mergeCell ref="E38:G38"/>
    <mergeCell ref="E40:G40"/>
    <mergeCell ref="E39:G39"/>
    <mergeCell ref="I40:O40"/>
    <mergeCell ref="I41:O43"/>
    <mergeCell ref="E41:G41"/>
    <mergeCell ref="E42:G42"/>
    <mergeCell ref="E44:G44"/>
    <mergeCell ref="H1:I1"/>
    <mergeCell ref="J1:L1"/>
    <mergeCell ref="M1:N1"/>
    <mergeCell ref="O1:P1"/>
    <mergeCell ref="O2:P2"/>
    <mergeCell ref="Y46:Y47"/>
    <mergeCell ref="Y44:Y45"/>
    <mergeCell ref="R42:Y42"/>
    <mergeCell ref="E2:G2"/>
    <mergeCell ref="A4:P5"/>
    <mergeCell ref="C38:D38"/>
    <mergeCell ref="O3:P3"/>
    <mergeCell ref="M3:N3"/>
    <mergeCell ref="C45:D45"/>
    <mergeCell ref="C46:D46"/>
    <mergeCell ref="C47:D47"/>
    <mergeCell ref="C39:D39"/>
    <mergeCell ref="C40:D40"/>
    <mergeCell ref="C41:D41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8" t="s">
        <v>32</v>
      </c>
      <c r="I1" s="299"/>
      <c r="J1" s="266"/>
      <c r="K1" s="267"/>
      <c r="L1" s="268"/>
      <c r="M1" s="269" t="s">
        <v>60</v>
      </c>
      <c r="N1" s="265"/>
      <c r="O1" s="270"/>
      <c r="P1" s="271"/>
    </row>
    <row r="2" spans="1:16" ht="15.75" thickBot="1" x14ac:dyDescent="0.3">
      <c r="A2" s="70"/>
      <c r="B2" s="70"/>
      <c r="C2" s="71"/>
      <c r="D2" s="81" t="s">
        <v>63</v>
      </c>
      <c r="E2" s="257"/>
      <c r="F2" s="258"/>
      <c r="G2" s="259"/>
      <c r="H2" s="70"/>
      <c r="I2" s="71"/>
      <c r="J2" s="71"/>
      <c r="K2" s="35"/>
      <c r="L2" s="35"/>
      <c r="M2" s="72" t="s">
        <v>59</v>
      </c>
      <c r="N2" s="73"/>
      <c r="O2" s="272"/>
      <c r="P2" s="268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264" t="s">
        <v>61</v>
      </c>
      <c r="N3" s="265"/>
      <c r="O3" s="262"/>
      <c r="P3" s="263"/>
    </row>
    <row r="4" spans="1:16" ht="15.75" thickBot="1" x14ac:dyDescent="0.3">
      <c r="A4" s="260" t="s">
        <v>34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ht="15.75" thickBot="1" x14ac:dyDescent="0.3">
      <c r="A5" s="260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1"/>
      <c r="D38" s="261"/>
      <c r="E38" s="290">
        <v>0</v>
      </c>
      <c r="F38" s="291"/>
      <c r="G38" s="29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5"/>
      <c r="D39" s="255"/>
      <c r="E39" s="290">
        <v>0</v>
      </c>
      <c r="F39" s="291"/>
      <c r="G39" s="29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6"/>
      <c r="D40" s="256"/>
      <c r="E40" s="290">
        <v>0</v>
      </c>
      <c r="F40" s="291"/>
      <c r="G40" s="292"/>
      <c r="H40" s="61"/>
      <c r="I40" s="293"/>
      <c r="J40" s="293"/>
      <c r="K40" s="293"/>
      <c r="L40" s="293"/>
      <c r="M40" s="293"/>
      <c r="N40" s="293"/>
      <c r="O40" s="293"/>
      <c r="P40" s="35"/>
    </row>
    <row r="41" spans="1:16" ht="25.5" x14ac:dyDescent="0.25">
      <c r="A41" s="186" t="s">
        <v>37</v>
      </c>
      <c r="B41" s="10"/>
      <c r="C41" s="255"/>
      <c r="D41" s="255"/>
      <c r="E41" s="290">
        <v>0</v>
      </c>
      <c r="F41" s="291"/>
      <c r="G41" s="292"/>
      <c r="H41" s="61"/>
      <c r="I41" s="294"/>
      <c r="J41" s="294"/>
      <c r="K41" s="294"/>
      <c r="L41" s="294"/>
      <c r="M41" s="294"/>
      <c r="N41" s="294"/>
      <c r="O41" s="294"/>
      <c r="P41" s="35"/>
    </row>
    <row r="42" spans="1:16" ht="25.5" x14ac:dyDescent="0.25">
      <c r="A42" s="186" t="s">
        <v>38</v>
      </c>
      <c r="B42" s="10"/>
      <c r="C42" s="279"/>
      <c r="D42" s="281"/>
      <c r="E42" s="295"/>
      <c r="F42" s="296"/>
      <c r="G42" s="297"/>
      <c r="H42" s="61"/>
      <c r="I42" s="294"/>
      <c r="J42" s="294"/>
      <c r="K42" s="294"/>
      <c r="L42" s="294"/>
      <c r="M42" s="294"/>
      <c r="N42" s="294"/>
      <c r="O42" s="294"/>
      <c r="P42" s="35"/>
    </row>
    <row r="43" spans="1:16" x14ac:dyDescent="0.25">
      <c r="A43" s="186" t="s">
        <v>40</v>
      </c>
      <c r="B43" s="10"/>
      <c r="C43" s="279"/>
      <c r="D43" s="280"/>
      <c r="E43" s="295"/>
      <c r="F43" s="296"/>
      <c r="G43" s="297"/>
      <c r="H43" s="61"/>
      <c r="I43" s="294"/>
      <c r="J43" s="294"/>
      <c r="K43" s="294"/>
      <c r="L43" s="294"/>
      <c r="M43" s="294"/>
      <c r="N43" s="294"/>
      <c r="O43" s="294"/>
      <c r="P43" s="35"/>
    </row>
    <row r="44" spans="1:16" x14ac:dyDescent="0.25">
      <c r="A44" s="186" t="s">
        <v>39</v>
      </c>
      <c r="B44" s="10"/>
      <c r="C44" s="277"/>
      <c r="D44" s="278"/>
      <c r="E44" s="295"/>
      <c r="F44" s="296"/>
      <c r="G44" s="29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2"/>
      <c r="D45" s="252"/>
      <c r="E45" s="290">
        <f>M52</f>
        <v>0</v>
      </c>
      <c r="F45" s="291"/>
      <c r="G45" s="29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3"/>
      <c r="D46" s="253"/>
      <c r="E46" s="290">
        <f t="shared" ref="E46:E47" si="0">M53</f>
        <v>0</v>
      </c>
      <c r="F46" s="291"/>
      <c r="G46" s="29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4"/>
      <c r="D47" s="254"/>
      <c r="E47" s="300">
        <f t="shared" si="0"/>
        <v>0</v>
      </c>
      <c r="F47" s="301"/>
      <c r="G47" s="302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3">
        <f>SUM(E38:E47)</f>
        <v>0</v>
      </c>
      <c r="F48" s="304"/>
      <c r="G48" s="305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9" t="s">
        <v>57</v>
      </c>
      <c r="G50" s="310"/>
      <c r="H50" s="310"/>
      <c r="I50" s="310"/>
      <c r="J50" s="310"/>
      <c r="K50" s="310"/>
      <c r="L50" s="310"/>
      <c r="M50" s="311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2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3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4"/>
      <c r="N54" s="34"/>
      <c r="O54" s="308"/>
      <c r="P54" s="308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4"/>
      <c r="N55" s="34"/>
      <c r="O55" s="308"/>
      <c r="P55" s="308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8" t="s">
        <v>32</v>
      </c>
      <c r="I1" s="299"/>
      <c r="J1" s="266"/>
      <c r="K1" s="267"/>
      <c r="L1" s="268"/>
      <c r="M1" s="269" t="s">
        <v>60</v>
      </c>
      <c r="N1" s="265"/>
      <c r="O1" s="270"/>
      <c r="P1" s="271"/>
    </row>
    <row r="2" spans="1:16" ht="15.75" thickBot="1" x14ac:dyDescent="0.3">
      <c r="A2" s="70"/>
      <c r="B2" s="70"/>
      <c r="C2" s="71"/>
      <c r="D2" s="81" t="s">
        <v>63</v>
      </c>
      <c r="E2" s="257"/>
      <c r="F2" s="258"/>
      <c r="G2" s="259"/>
      <c r="H2" s="70"/>
      <c r="I2" s="71"/>
      <c r="J2" s="71"/>
      <c r="K2" s="35"/>
      <c r="L2" s="35"/>
      <c r="M2" s="72" t="s">
        <v>59</v>
      </c>
      <c r="N2" s="73"/>
      <c r="O2" s="272"/>
      <c r="P2" s="268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264" t="s">
        <v>61</v>
      </c>
      <c r="N3" s="265"/>
      <c r="O3" s="262"/>
      <c r="P3" s="263"/>
    </row>
    <row r="4" spans="1:16" ht="15.75" thickBot="1" x14ac:dyDescent="0.3">
      <c r="A4" s="260" t="s">
        <v>68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ht="15.75" thickBot="1" x14ac:dyDescent="0.3">
      <c r="A5" s="260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1"/>
      <c r="D38" s="261"/>
      <c r="E38" s="290">
        <v>0</v>
      </c>
      <c r="F38" s="291"/>
      <c r="G38" s="29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5"/>
      <c r="D39" s="255"/>
      <c r="E39" s="290">
        <v>0</v>
      </c>
      <c r="F39" s="291"/>
      <c r="G39" s="29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6"/>
      <c r="D40" s="256"/>
      <c r="E40" s="290">
        <v>0</v>
      </c>
      <c r="F40" s="291"/>
      <c r="G40" s="292"/>
      <c r="H40" s="61"/>
      <c r="I40" s="293"/>
      <c r="J40" s="293"/>
      <c r="K40" s="293"/>
      <c r="L40" s="293"/>
      <c r="M40" s="293"/>
      <c r="N40" s="293"/>
      <c r="O40" s="293"/>
      <c r="P40" s="35"/>
    </row>
    <row r="41" spans="1:16" ht="25.5" x14ac:dyDescent="0.25">
      <c r="A41" s="186" t="s">
        <v>37</v>
      </c>
      <c r="B41" s="10"/>
      <c r="C41" s="255"/>
      <c r="D41" s="255"/>
      <c r="E41" s="290">
        <v>0</v>
      </c>
      <c r="F41" s="291"/>
      <c r="G41" s="292"/>
      <c r="H41" s="61"/>
      <c r="I41" s="294"/>
      <c r="J41" s="294"/>
      <c r="K41" s="294"/>
      <c r="L41" s="294"/>
      <c r="M41" s="294"/>
      <c r="N41" s="294"/>
      <c r="O41" s="294"/>
      <c r="P41" s="35"/>
    </row>
    <row r="42" spans="1:16" ht="25.5" x14ac:dyDescent="0.25">
      <c r="A42" s="186" t="s">
        <v>38</v>
      </c>
      <c r="B42" s="10"/>
      <c r="C42" s="279"/>
      <c r="D42" s="281"/>
      <c r="E42" s="295"/>
      <c r="F42" s="296"/>
      <c r="G42" s="297"/>
      <c r="H42" s="61"/>
      <c r="I42" s="294"/>
      <c r="J42" s="294"/>
      <c r="K42" s="294"/>
      <c r="L42" s="294"/>
      <c r="M42" s="294"/>
      <c r="N42" s="294"/>
      <c r="O42" s="294"/>
      <c r="P42" s="35"/>
    </row>
    <row r="43" spans="1:16" x14ac:dyDescent="0.25">
      <c r="A43" s="186" t="s">
        <v>40</v>
      </c>
      <c r="B43" s="10"/>
      <c r="C43" s="279"/>
      <c r="D43" s="280"/>
      <c r="E43" s="295"/>
      <c r="F43" s="296"/>
      <c r="G43" s="297"/>
      <c r="H43" s="61"/>
      <c r="I43" s="294"/>
      <c r="J43" s="294"/>
      <c r="K43" s="294"/>
      <c r="L43" s="294"/>
      <c r="M43" s="294"/>
      <c r="N43" s="294"/>
      <c r="O43" s="294"/>
      <c r="P43" s="35"/>
    </row>
    <row r="44" spans="1:16" x14ac:dyDescent="0.25">
      <c r="A44" s="186" t="s">
        <v>39</v>
      </c>
      <c r="B44" s="10"/>
      <c r="C44" s="277"/>
      <c r="D44" s="278"/>
      <c r="E44" s="295"/>
      <c r="F44" s="296"/>
      <c r="G44" s="29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2"/>
      <c r="D45" s="252"/>
      <c r="E45" s="290">
        <f>M52</f>
        <v>0</v>
      </c>
      <c r="F45" s="291"/>
      <c r="G45" s="29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3"/>
      <c r="D46" s="253"/>
      <c r="E46" s="290">
        <f t="shared" ref="E46:E47" si="0">M53</f>
        <v>0</v>
      </c>
      <c r="F46" s="291"/>
      <c r="G46" s="29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4"/>
      <c r="D47" s="254"/>
      <c r="E47" s="300">
        <f t="shared" si="0"/>
        <v>0</v>
      </c>
      <c r="F47" s="301"/>
      <c r="G47" s="302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3">
        <f>SUM(E38:E47)</f>
        <v>0</v>
      </c>
      <c r="F48" s="304"/>
      <c r="G48" s="305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9" t="s">
        <v>57</v>
      </c>
      <c r="G50" s="310"/>
      <c r="H50" s="310"/>
      <c r="I50" s="310"/>
      <c r="J50" s="310"/>
      <c r="K50" s="310"/>
      <c r="L50" s="310"/>
      <c r="M50" s="311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2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3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4"/>
      <c r="N54" s="34"/>
      <c r="O54" s="308"/>
      <c r="P54" s="308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4"/>
      <c r="N55" s="34"/>
      <c r="O55" s="308"/>
      <c r="P55" s="308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8" t="s">
        <v>32</v>
      </c>
      <c r="I1" s="299"/>
      <c r="J1" s="266"/>
      <c r="K1" s="267"/>
      <c r="L1" s="268"/>
      <c r="M1" s="269" t="s">
        <v>60</v>
      </c>
      <c r="N1" s="265"/>
      <c r="O1" s="270"/>
      <c r="P1" s="271"/>
    </row>
    <row r="2" spans="1:16" ht="15.75" thickBot="1" x14ac:dyDescent="0.3">
      <c r="A2" s="70"/>
      <c r="B2" s="70"/>
      <c r="C2" s="71"/>
      <c r="D2" s="81" t="s">
        <v>63</v>
      </c>
      <c r="E2" s="257"/>
      <c r="F2" s="258"/>
      <c r="G2" s="259"/>
      <c r="H2" s="70"/>
      <c r="I2" s="71"/>
      <c r="J2" s="71"/>
      <c r="K2" s="35"/>
      <c r="L2" s="35"/>
      <c r="M2" s="72" t="s">
        <v>59</v>
      </c>
      <c r="N2" s="73"/>
      <c r="O2" s="272"/>
      <c r="P2" s="268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264" t="s">
        <v>61</v>
      </c>
      <c r="N3" s="265"/>
      <c r="O3" s="262"/>
      <c r="P3" s="263"/>
    </row>
    <row r="4" spans="1:16" ht="15.75" thickBot="1" x14ac:dyDescent="0.3">
      <c r="A4" s="260" t="s">
        <v>67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</row>
    <row r="5" spans="1:16" ht="15.75" thickBot="1" x14ac:dyDescent="0.3">
      <c r="A5" s="260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1"/>
      <c r="D38" s="261"/>
      <c r="E38" s="290">
        <v>0</v>
      </c>
      <c r="F38" s="291"/>
      <c r="G38" s="29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5"/>
      <c r="D39" s="255"/>
      <c r="E39" s="290">
        <v>0</v>
      </c>
      <c r="F39" s="291"/>
      <c r="G39" s="29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6"/>
      <c r="D40" s="256"/>
      <c r="E40" s="290">
        <v>0</v>
      </c>
      <c r="F40" s="291"/>
      <c r="G40" s="292"/>
      <c r="H40" s="61"/>
      <c r="I40" s="293"/>
      <c r="J40" s="293"/>
      <c r="K40" s="293"/>
      <c r="L40" s="293"/>
      <c r="M40" s="293"/>
      <c r="N40" s="293"/>
      <c r="O40" s="293"/>
      <c r="P40" s="35"/>
    </row>
    <row r="41" spans="1:16" ht="25.5" x14ac:dyDescent="0.25">
      <c r="A41" s="186" t="s">
        <v>37</v>
      </c>
      <c r="B41" s="10"/>
      <c r="C41" s="255"/>
      <c r="D41" s="255"/>
      <c r="E41" s="290">
        <v>0</v>
      </c>
      <c r="F41" s="291"/>
      <c r="G41" s="292"/>
      <c r="H41" s="61"/>
      <c r="I41" s="294"/>
      <c r="J41" s="294"/>
      <c r="K41" s="294"/>
      <c r="L41" s="294"/>
      <c r="M41" s="294"/>
      <c r="N41" s="294"/>
      <c r="O41" s="294"/>
      <c r="P41" s="35"/>
    </row>
    <row r="42" spans="1:16" ht="25.5" x14ac:dyDescent="0.25">
      <c r="A42" s="186" t="s">
        <v>38</v>
      </c>
      <c r="B42" s="10"/>
      <c r="C42" s="279"/>
      <c r="D42" s="281"/>
      <c r="E42" s="295"/>
      <c r="F42" s="296"/>
      <c r="G42" s="297"/>
      <c r="H42" s="61"/>
      <c r="I42" s="294"/>
      <c r="J42" s="294"/>
      <c r="K42" s="294"/>
      <c r="L42" s="294"/>
      <c r="M42" s="294"/>
      <c r="N42" s="294"/>
      <c r="O42" s="294"/>
      <c r="P42" s="35"/>
    </row>
    <row r="43" spans="1:16" x14ac:dyDescent="0.25">
      <c r="A43" s="186" t="s">
        <v>40</v>
      </c>
      <c r="B43" s="10"/>
      <c r="C43" s="279"/>
      <c r="D43" s="280"/>
      <c r="E43" s="295"/>
      <c r="F43" s="296"/>
      <c r="G43" s="297"/>
      <c r="H43" s="61"/>
      <c r="I43" s="294"/>
      <c r="J43" s="294"/>
      <c r="K43" s="294"/>
      <c r="L43" s="294"/>
      <c r="M43" s="294"/>
      <c r="N43" s="294"/>
      <c r="O43" s="294"/>
      <c r="P43" s="35"/>
    </row>
    <row r="44" spans="1:16" x14ac:dyDescent="0.25">
      <c r="A44" s="186" t="s">
        <v>39</v>
      </c>
      <c r="B44" s="10"/>
      <c r="C44" s="277"/>
      <c r="D44" s="278"/>
      <c r="E44" s="295"/>
      <c r="F44" s="296"/>
      <c r="G44" s="297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2"/>
      <c r="D45" s="252"/>
      <c r="E45" s="290">
        <f>M52</f>
        <v>0</v>
      </c>
      <c r="F45" s="291"/>
      <c r="G45" s="29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3"/>
      <c r="D46" s="253"/>
      <c r="E46" s="290">
        <f t="shared" ref="E46:E47" si="0">M53</f>
        <v>0</v>
      </c>
      <c r="F46" s="291"/>
      <c r="G46" s="29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4"/>
      <c r="D47" s="254"/>
      <c r="E47" s="300">
        <f t="shared" si="0"/>
        <v>0</v>
      </c>
      <c r="F47" s="301"/>
      <c r="G47" s="302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3">
        <f>SUM(E38:E47)</f>
        <v>0</v>
      </c>
      <c r="F48" s="304"/>
      <c r="G48" s="305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09" t="s">
        <v>57</v>
      </c>
      <c r="G50" s="310"/>
      <c r="H50" s="310"/>
      <c r="I50" s="310"/>
      <c r="J50" s="310"/>
      <c r="K50" s="310"/>
      <c r="L50" s="310"/>
      <c r="M50" s="311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2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3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4"/>
      <c r="N54" s="34"/>
      <c r="O54" s="308"/>
      <c r="P54" s="308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4"/>
      <c r="N55" s="34"/>
      <c r="O55" s="308"/>
      <c r="P55" s="308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5"/>
      <c r="C1" s="316"/>
      <c r="D1" s="226" t="s">
        <v>62</v>
      </c>
      <c r="E1" s="227"/>
      <c r="F1" s="228"/>
      <c r="G1" s="229"/>
      <c r="H1" s="317"/>
      <c r="I1" s="318"/>
      <c r="J1" s="318"/>
      <c r="K1" s="319"/>
      <c r="L1" s="319"/>
      <c r="M1" s="320"/>
      <c r="N1" s="319"/>
      <c r="O1" s="321"/>
      <c r="P1" s="321"/>
    </row>
    <row r="2" spans="1:16" ht="15.75" thickBot="1" x14ac:dyDescent="0.3">
      <c r="A2" s="260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</row>
    <row r="3" spans="1:16" ht="15.75" hidden="1" thickBot="1" x14ac:dyDescent="0.3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2026-04-07T15:12:21Z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