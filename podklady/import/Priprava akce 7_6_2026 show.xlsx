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workbookProtection lockWindows="1"/>
  <bookViews>
    <workbookView xWindow="0" yWindow="0" windowWidth="28800" windowHeight="11835" tabRatio="989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1" l="1"/>
  <c r="D35" i="1"/>
  <c r="E27" i="6" l="1"/>
  <c r="D27" i="6"/>
  <c r="D55" i="5"/>
  <c r="C55" i="5"/>
  <c r="B55" i="5"/>
  <c r="D54" i="5"/>
  <c r="C54" i="5"/>
  <c r="B54" i="5"/>
  <c r="D53" i="5"/>
  <c r="C53" i="5"/>
  <c r="B53" i="5"/>
  <c r="D52" i="5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D56" i="5"/>
  <c r="B56" i="4"/>
  <c r="B58" i="4" s="1"/>
  <c r="C56" i="5"/>
  <c r="C60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56" i="5"/>
  <c r="B58" i="5" s="1"/>
  <c r="D60" i="5"/>
  <c r="D58" i="5"/>
  <c r="D60" i="3"/>
  <c r="D58" i="3"/>
  <c r="B60" i="4" l="1"/>
  <c r="C60" i="3"/>
  <c r="C58" i="5"/>
  <c r="D60" i="4"/>
  <c r="C58" i="1"/>
  <c r="B60" i="3"/>
  <c r="C60" i="4"/>
  <c r="B60" i="5"/>
  <c r="E45" i="1"/>
  <c r="D55" i="1"/>
  <c r="E46" i="1"/>
  <c r="E47" i="1"/>
  <c r="H35" i="1"/>
  <c r="B52" i="1" s="1"/>
  <c r="B56" i="1" s="1"/>
  <c r="B58" i="1" s="1"/>
  <c r="G35" i="1"/>
  <c r="D52" i="1" s="1"/>
  <c r="D56" i="1" l="1"/>
  <c r="D60" i="1" s="1"/>
  <c r="E48" i="1"/>
  <c r="B59" i="1" s="1"/>
  <c r="B60" i="1" s="1"/>
  <c r="D58" i="1" l="1"/>
</calcChain>
</file>

<file path=xl/sharedStrings.xml><?xml version="1.0" encoding="utf-8"?>
<sst xmlns="http://schemas.openxmlformats.org/spreadsheetml/2006/main" count="352" uniqueCount="106">
  <si>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</si>
  <si>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</si>
  <si>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</si>
  <si>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</si>
  <si>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</si>
  <si>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</si>
  <si>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</si>
  <si>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</si>
  <si>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</si>
  <si>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</si>
  <si>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</si>
  <si>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</si>
  <si>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</si>
  <si>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</si>
  <si>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</si>
  <si>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</si>
  <si>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</si>
  <si>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</si>
  <si>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</si>
  <si>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</si>
  <si>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</si>
  <si>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</si>
  <si>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</si>
  <si>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</si>
  <si>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</si>
  <si>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</si>
  <si>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</si>
  <si>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</si>
  <si>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</si>
  <si>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</si>
  <si>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</si>
  <si>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</si>
  <si>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</si>
  <si>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</si>
  <si>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</si>
  <si>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</si>
  <si>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</si>
  <si>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</si>
  <si>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</si>
  <si>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</si>
  <si>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</si>
  <si>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</si>
  <si>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</si>
  <si>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</si>
  <si>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</si>
  <si>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</si>
  <si>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</si>
  <si>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</si>
  <si>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</si>
  <si>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</si>
  <si>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</si>
  <si>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</si>
  <si>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</si>
  <si>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</si>
  <si>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</si>
  <si>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</si>
  <si>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</si>
  <si>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</si>
  <si>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</si>
  <si>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</si>
  <si>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</si>
  <si>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</si>
  <si>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</si>
  <si>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</si>
  <si>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</si>
  <si>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</si>
  <si>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</si>
  <si>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</si>
  <si>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</si>
  <si>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</si>
  <si>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</si>
  <si>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</si>
  <si>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EB220526</t>
  </si>
  <si>
    <t>Expat Explore EJ040626</t>
  </si>
  <si>
    <t>Fun in Prague</t>
  </si>
  <si>
    <t xml:space="preserve">Hotel Pod Věží </t>
  </si>
  <si>
    <t>Brandi Watson</t>
  </si>
  <si>
    <t>tradice</t>
  </si>
  <si>
    <t>neomezeně</t>
  </si>
  <si>
    <t>18:30 - 19:00</t>
  </si>
  <si>
    <t>rezervace dne 13/1</t>
  </si>
  <si>
    <t>Quentin Le Thiec</t>
  </si>
  <si>
    <t>Clown &amp; Bard Hostel, Bořivojova</t>
  </si>
  <si>
    <t>fa, stará cena</t>
  </si>
  <si>
    <t>1x kuře</t>
  </si>
  <si>
    <t>Special Tours Royer / Therme (Francie)</t>
  </si>
  <si>
    <t>Francie</t>
  </si>
  <si>
    <t>fa</t>
  </si>
  <si>
    <t>rezervace dne 28/1 K</t>
  </si>
  <si>
    <t>Storno 27/2 D</t>
  </si>
  <si>
    <t>Met travel PGS 0606 PVB</t>
  </si>
  <si>
    <t>x</t>
  </si>
  <si>
    <t>losos + kuře</t>
  </si>
  <si>
    <t>Turecko</t>
  </si>
  <si>
    <t>rezervace dne 18/3 J</t>
  </si>
  <si>
    <t>rezervace 29/9 potvrzeno 18/3 T</t>
  </si>
  <si>
    <t>Ken 0044 7544 857508</t>
  </si>
  <si>
    <t>Diogo 0035 1916 628295</t>
  </si>
  <si>
    <t xml:space="preserve">37 eur/os, u nás  </t>
  </si>
  <si>
    <t>Kuoni, sk. OSA260000997</t>
  </si>
  <si>
    <t>VEČEŘE 18:30</t>
  </si>
  <si>
    <t>pomazánka, kuře, zmrzlina</t>
  </si>
  <si>
    <t xml:space="preserve">bez pití </t>
  </si>
  <si>
    <t>Japonsko</t>
  </si>
  <si>
    <t>370 Kč/os. Fa</t>
  </si>
  <si>
    <t>rezervace dne 25/3,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</si>
</sst>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9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theme="4" tint="0.59999389629810485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31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0" fontId="18" fillId="8" borderId="2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3" fillId="20" borderId="21" xfId="1" applyFont="1" applyFill="1" applyBorder="1" applyAlignment="1">
      <alignment horizontal="left" vertical="center" wrapText="1"/>
    </xf>
    <xf numFmtId="0" fontId="3" fillId="20" borderId="9" xfId="1" applyFont="1" applyFill="1" applyBorder="1" applyAlignment="1">
      <alignment horizontal="center" vertical="center" wrapText="1"/>
    </xf>
    <xf numFmtId="0" fontId="4" fillId="20" borderId="9" xfId="0" applyFont="1" applyFill="1" applyBorder="1" applyAlignment="1">
      <alignment horizontal="center" vertical="center" wrapText="1"/>
    </xf>
    <xf numFmtId="20" fontId="3" fillId="20" borderId="9" xfId="1" applyNumberFormat="1" applyFont="1" applyFill="1" applyBorder="1" applyAlignment="1">
      <alignment horizontal="center" vertical="center" wrapText="1"/>
    </xf>
    <xf numFmtId="0" fontId="4" fillId="20" borderId="22" xfId="0" applyFont="1" applyFill="1" applyBorder="1" applyAlignment="1">
      <alignment horizont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G7" sqref="G7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7" ht="18" customHeight="1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7" ht="18" customHeight="1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7" ht="15.75" thickBot="1" x14ac:dyDescent="0.3">
      <c r="A4" s="264" t="s">
        <v>64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7" ht="15.75" hidden="1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18" customHeight="1" x14ac:dyDescent="0.25">
      <c r="A9" s="251" t="s">
        <v>74</v>
      </c>
      <c r="B9" s="252" t="s">
        <v>82</v>
      </c>
      <c r="C9" s="253" t="s">
        <v>81</v>
      </c>
      <c r="D9" s="253"/>
      <c r="E9" s="253"/>
      <c r="F9" s="253"/>
      <c r="G9" s="253"/>
      <c r="H9" s="253"/>
      <c r="I9" s="253"/>
      <c r="J9" s="253" t="s">
        <v>77</v>
      </c>
      <c r="K9" s="253" t="s">
        <v>78</v>
      </c>
      <c r="L9" s="253"/>
      <c r="M9" s="252" t="s">
        <v>83</v>
      </c>
      <c r="N9" s="254" t="s">
        <v>79</v>
      </c>
      <c r="O9" s="254"/>
      <c r="P9" s="255" t="s">
        <v>89</v>
      </c>
    </row>
    <row r="10" spans="1:17" ht="25.5" x14ac:dyDescent="0.25">
      <c r="A10" s="251" t="s">
        <v>74</v>
      </c>
      <c r="B10" s="252" t="s">
        <v>82</v>
      </c>
      <c r="C10" s="253" t="s">
        <v>81</v>
      </c>
      <c r="D10" s="253"/>
      <c r="E10" s="253"/>
      <c r="F10" s="253"/>
      <c r="G10" s="253"/>
      <c r="H10" s="253"/>
      <c r="I10" s="253"/>
      <c r="J10" s="253" t="s">
        <v>84</v>
      </c>
      <c r="K10" s="253" t="s">
        <v>78</v>
      </c>
      <c r="L10" s="253"/>
      <c r="M10" s="252" t="s">
        <v>83</v>
      </c>
      <c r="N10" s="254" t="s">
        <v>79</v>
      </c>
      <c r="O10" s="254"/>
      <c r="P10" s="255" t="s">
        <v>89</v>
      </c>
    </row>
    <row r="11" spans="1:17" ht="38.25" x14ac:dyDescent="0.25">
      <c r="A11" s="326" t="s">
        <v>99</v>
      </c>
      <c r="B11" s="327" t="s">
        <v>100</v>
      </c>
      <c r="C11" s="328"/>
      <c r="D11" s="328">
        <v>20</v>
      </c>
      <c r="E11" s="328">
        <v>1</v>
      </c>
      <c r="F11" s="328"/>
      <c r="G11" s="328"/>
      <c r="H11" s="328"/>
      <c r="I11" s="328"/>
      <c r="J11" s="328" t="s">
        <v>101</v>
      </c>
      <c r="K11" s="328" t="s">
        <v>102</v>
      </c>
      <c r="L11" s="328" t="s">
        <v>103</v>
      </c>
      <c r="M11" s="327" t="s">
        <v>104</v>
      </c>
      <c r="N11" s="329" t="s">
        <v>91</v>
      </c>
      <c r="O11" s="329"/>
      <c r="P11" s="330" t="s">
        <v>105</v>
      </c>
    </row>
    <row r="12" spans="1:17" s="1" customFormat="1" ht="127.5" x14ac:dyDescent="0.25">
      <c r="A12" s="105" t="s">
        <v>72</v>
      </c>
      <c r="B12" s="101" t="s">
        <v>69</v>
      </c>
      <c r="C12" s="247" t="s">
        <v>96</v>
      </c>
      <c r="D12" s="247">
        <v>20</v>
      </c>
      <c r="E12" s="247"/>
      <c r="F12" s="247"/>
      <c r="G12" s="247"/>
      <c r="H12" s="247"/>
      <c r="I12" s="247"/>
      <c r="J12" s="247" t="s">
        <v>69</v>
      </c>
      <c r="K12" s="248" t="s">
        <v>69</v>
      </c>
      <c r="L12" s="247"/>
      <c r="M12" s="101" t="s">
        <v>70</v>
      </c>
      <c r="N12" s="129">
        <v>0.79166666666666663</v>
      </c>
      <c r="O12" s="129" t="s">
        <v>71</v>
      </c>
      <c r="P12" s="249" t="s">
        <v>95</v>
      </c>
      <c r="Q12" s="6"/>
    </row>
    <row r="13" spans="1:17" s="1" customFormat="1" ht="127.5" x14ac:dyDescent="0.25">
      <c r="A13" s="105" t="s">
        <v>73</v>
      </c>
      <c r="B13" s="101" t="s">
        <v>69</v>
      </c>
      <c r="C13" s="247" t="s">
        <v>97</v>
      </c>
      <c r="D13" s="247">
        <v>20</v>
      </c>
      <c r="E13" s="247"/>
      <c r="F13" s="247"/>
      <c r="G13" s="247"/>
      <c r="H13" s="247"/>
      <c r="I13" s="247"/>
      <c r="J13" s="247" t="s">
        <v>69</v>
      </c>
      <c r="K13" s="248" t="s">
        <v>69</v>
      </c>
      <c r="L13" s="247"/>
      <c r="M13" s="101" t="s">
        <v>70</v>
      </c>
      <c r="N13" s="129">
        <v>0.79166666666666663</v>
      </c>
      <c r="O13" s="129" t="s">
        <v>71</v>
      </c>
      <c r="P13" s="249" t="s">
        <v>95</v>
      </c>
      <c r="Q13" s="6"/>
    </row>
    <row r="14" spans="1:17" ht="26.25" x14ac:dyDescent="0.25">
      <c r="A14" s="105" t="s">
        <v>74</v>
      </c>
      <c r="B14" s="101" t="s">
        <v>75</v>
      </c>
      <c r="C14" s="102" t="s">
        <v>76</v>
      </c>
      <c r="D14" s="102">
        <v>2</v>
      </c>
      <c r="E14" s="102"/>
      <c r="F14" s="102"/>
      <c r="G14" s="102"/>
      <c r="H14" s="102"/>
      <c r="I14" s="102"/>
      <c r="J14" s="107" t="s">
        <v>77</v>
      </c>
      <c r="K14" s="128" t="s">
        <v>78</v>
      </c>
      <c r="L14" s="102"/>
      <c r="M14" s="101" t="s">
        <v>83</v>
      </c>
      <c r="N14" s="103" t="s">
        <v>79</v>
      </c>
      <c r="O14" s="129"/>
      <c r="P14" s="250" t="s">
        <v>80</v>
      </c>
    </row>
    <row r="15" spans="1:17" ht="38.25" x14ac:dyDescent="0.25">
      <c r="A15" s="110" t="s">
        <v>85</v>
      </c>
      <c r="B15" s="101"/>
      <c r="C15" s="102"/>
      <c r="D15" s="102">
        <v>40</v>
      </c>
      <c r="E15" s="102">
        <v>2</v>
      </c>
      <c r="F15" s="102"/>
      <c r="G15" s="102"/>
      <c r="H15" s="102"/>
      <c r="I15" s="102"/>
      <c r="J15" s="102" t="s">
        <v>77</v>
      </c>
      <c r="K15" s="102" t="s">
        <v>78</v>
      </c>
      <c r="L15" s="102" t="s">
        <v>86</v>
      </c>
      <c r="M15" s="101" t="s">
        <v>87</v>
      </c>
      <c r="N15" s="103"/>
      <c r="O15" s="103"/>
      <c r="P15" s="104" t="s">
        <v>88</v>
      </c>
    </row>
    <row r="16" spans="1:17" ht="26.25" x14ac:dyDescent="0.25">
      <c r="A16" s="111" t="s">
        <v>90</v>
      </c>
      <c r="B16" s="101" t="s">
        <v>91</v>
      </c>
      <c r="C16" s="102"/>
      <c r="D16" s="102">
        <v>20</v>
      </c>
      <c r="E16" s="102">
        <v>2</v>
      </c>
      <c r="F16" s="102"/>
      <c r="G16" s="102"/>
      <c r="H16" s="102"/>
      <c r="I16" s="102"/>
      <c r="J16" s="102" t="s">
        <v>92</v>
      </c>
      <c r="K16" s="102" t="s">
        <v>78</v>
      </c>
      <c r="L16" s="102" t="s">
        <v>93</v>
      </c>
      <c r="M16" s="101" t="s">
        <v>98</v>
      </c>
      <c r="N16" s="103" t="s">
        <v>91</v>
      </c>
      <c r="O16" s="103"/>
      <c r="P16" s="104" t="s">
        <v>94</v>
      </c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SUM(D12:D34)</f>
        <v>102</v>
      </c>
      <c r="E35" s="174">
        <f>SUM(E12:E34)</f>
        <v>4</v>
      </c>
      <c r="F35" s="175"/>
      <c r="G35" s="176">
        <f>SUM(G10:G34)</f>
        <v>0</v>
      </c>
      <c r="H35" s="172">
        <f>SUM(H10:H34)</f>
        <v>0</v>
      </c>
      <c r="I35" s="173">
        <f>SUM(I10:I34)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  <c r="R42" s="278"/>
      <c r="S42" s="278"/>
      <c r="T42" s="278"/>
      <c r="U42" s="278"/>
      <c r="V42" s="278"/>
      <c r="W42" s="278"/>
      <c r="X42" s="278"/>
      <c r="Y42" s="278"/>
    </row>
    <row r="43" spans="1:25" ht="43.5" customHeight="1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7"/>
    </row>
    <row r="45" spans="1:2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7"/>
    </row>
    <row r="46" spans="1:25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7"/>
    </row>
    <row r="47" spans="1:25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7"/>
    </row>
    <row r="48" spans="1:25" ht="24" customHeight="1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10"/>
      <c r="V51" s="310"/>
      <c r="W51" s="310"/>
      <c r="X51" s="310"/>
      <c r="Y51" s="310"/>
      <c r="Z51" s="310"/>
      <c r="AA51" s="310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  <c r="Q52" s="19"/>
      <c r="R52" s="20"/>
      <c r="S52" s="19"/>
      <c r="U52" s="311"/>
      <c r="V52" s="311"/>
      <c r="W52" s="311"/>
      <c r="X52" s="311"/>
      <c r="Y52" s="311"/>
      <c r="Z52" s="311"/>
      <c r="AA52" s="311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  <c r="Q53" s="19"/>
      <c r="R53" s="20"/>
      <c r="S53" s="19"/>
      <c r="U53" s="311"/>
      <c r="V53" s="311"/>
      <c r="W53" s="311"/>
      <c r="X53" s="311"/>
      <c r="Y53" s="311"/>
      <c r="Z53" s="311"/>
      <c r="AA53" s="311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  <c r="Q54" s="19"/>
      <c r="R54" s="20"/>
      <c r="S54" s="19"/>
      <c r="U54" s="311"/>
      <c r="V54" s="311"/>
      <c r="W54" s="311"/>
      <c r="X54" s="311"/>
      <c r="Y54" s="311"/>
      <c r="Z54" s="311"/>
      <c r="AA54" s="311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34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68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67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9"/>
      <c r="C1" s="320"/>
      <c r="D1" s="226" t="s">
        <v>62</v>
      </c>
      <c r="E1" s="227"/>
      <c r="F1" s="228"/>
      <c r="G1" s="229"/>
      <c r="H1" s="321"/>
      <c r="I1" s="322"/>
      <c r="J1" s="322"/>
      <c r="K1" s="323"/>
      <c r="L1" s="323"/>
      <c r="M1" s="324"/>
      <c r="N1" s="323"/>
      <c r="O1" s="325"/>
      <c r="P1" s="325"/>
    </row>
    <row r="2" spans="1:16" ht="15.75" thickBot="1" x14ac:dyDescent="0.3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</row>
    <row r="3" spans="1:16" ht="15.75" hidden="1" thickBot="1" x14ac:dyDescent="0.3">
      <c r="A3" s="264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Operations</cp:lastModifiedBy>
  <cp:revision>5</cp:revision>
  <cp:lastPrinted>2018-10-31T12:39:02Z</cp:lastPrinted>
  <dcterms:created xsi:type="dcterms:W3CDTF">2014-05-15T14:58:22Z</dcterms:created>
  <dcterms:modified xsi:type="dcterms:W3CDTF">2026-03-25T07:36:47Z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