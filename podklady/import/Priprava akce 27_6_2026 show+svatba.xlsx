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workbookProtection lockWindows="1"/>
  <bookViews>
    <workbookView xWindow="0" yWindow="0" windowWidth="28800" windowHeight="11835" tabRatio="989"/>
  </bookViews>
  <sheets>
    <sheet name="Roubenka, terasa" sheetId="1" r:id="rId1"/>
    <sheet name="Altán_svatba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1" l="1"/>
  <c r="E27" i="6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B56" i="4" l="1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H35" i="1"/>
  <c r="B52" i="1" s="1"/>
  <c r="B56" i="1" s="1"/>
  <c r="B58" i="1" s="1"/>
  <c r="G35" i="1"/>
  <c r="D52" i="1" s="1"/>
  <c r="D56" i="1" s="1"/>
  <c r="E48" i="1" l="1"/>
  <c r="B59" i="1" s="1"/>
  <c r="B60" i="1"/>
  <c r="D60" i="1"/>
  <c r="D58" i="1"/>
</calcChain>
</file>

<file path=xl/sharedStrings.xml><?xml version="1.0" encoding="utf-8"?>
<sst xmlns="http://schemas.openxmlformats.org/spreadsheetml/2006/main" count="345" uniqueCount="106">
  <si>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</si>
  <si>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</si>
  <si>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</si>
  <si>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</si>
  <si>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</si>
  <si>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</si>
  <si>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</si>
  <si>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</si>
  <si>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</si>
  <si>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</si>
  <si>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</si>
  <si>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</si>
  <si>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</si>
  <si>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</si>
  <si>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</si>
  <si>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</si>
  <si>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</si>
  <si>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</si>
  <si>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</si>
  <si>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</si>
  <si>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</si>
  <si>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</si>
  <si>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</si>
  <si>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</si>
  <si>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</si>
  <si>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</si>
  <si>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</si>
  <si>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</si>
  <si>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</si>
  <si>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</si>
  <si>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</si>
  <si>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</si>
  <si>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</si>
  <si>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</si>
  <si>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</si>
  <si>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</si>
  <si>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</si>
  <si>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</si>
  <si>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</si>
  <si>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</si>
  <si>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</si>
  <si>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</si>
  <si>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</si>
  <si>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</si>
  <si>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</si>
  <si>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</si>
  <si>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</si>
  <si>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</si>
  <si>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</si>
  <si>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</si>
  <si>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</si>
  <si>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</si>
  <si>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</si>
  <si>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</si>
  <si>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</si>
  <si>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</si>
  <si>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</si>
  <si>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</si>
  <si>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</si>
  <si>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</si>
  <si>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</si>
  <si>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</si>
  <si>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</si>
  <si>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</si>
  <si>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</si>
  <si>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</si>
  <si>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</si>
  <si>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</si>
  <si>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</si>
  <si>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ISALEX GRP. OASIS NOVOBANCO</t>
  </si>
  <si>
    <t>tradice</t>
  </si>
  <si>
    <t>x</t>
  </si>
  <si>
    <t>850 Kč/os, fa (stará cena)</t>
  </si>
  <si>
    <t>Alexandr Fenčák</t>
  </si>
  <si>
    <t>svatba</t>
  </si>
  <si>
    <t>ISALEX GRP. OASIS PECHADO</t>
  </si>
  <si>
    <t>Travel for Teens PASCO1</t>
  </si>
  <si>
    <t>neomezeně</t>
  </si>
  <si>
    <t>proforma</t>
  </si>
  <si>
    <t>830 Kč/os + příplatky + 300 Kč/os trf, proforma</t>
  </si>
  <si>
    <t>1 drink</t>
  </si>
  <si>
    <t>bez trf</t>
  </si>
  <si>
    <t>Fun in Prague</t>
  </si>
  <si>
    <t>Todd Kuehnelein</t>
  </si>
  <si>
    <t>2x kachna</t>
  </si>
  <si>
    <t>fa, stará cena</t>
  </si>
  <si>
    <t>rezervace 7/2 T</t>
  </si>
  <si>
    <t xml:space="preserve">CHODOV sk KANIA </t>
  </si>
  <si>
    <t>FA</t>
  </si>
  <si>
    <t>Polsko</t>
  </si>
  <si>
    <t>rezervace dne 20/2 K, storno dne 23/2 K</t>
  </si>
  <si>
    <t>rezervace dne 2/2 K, změněno 26/2, D</t>
  </si>
  <si>
    <t xml:space="preserve">U Zlatého jelena, Celetná 598/11 </t>
  </si>
  <si>
    <t>Jennifer Williams</t>
  </si>
  <si>
    <t>2x tradice</t>
  </si>
  <si>
    <t>fa</t>
  </si>
  <si>
    <t>18:30 - 19:00</t>
  </si>
  <si>
    <t>Rezervace 5/3 D</t>
  </si>
  <si>
    <t>Met travel PGS 2606 PVB</t>
  </si>
  <si>
    <t xml:space="preserve">losos + kuře </t>
  </si>
  <si>
    <t>Turecko</t>
  </si>
  <si>
    <t xml:space="preserve">37 eur/os, u nás </t>
  </si>
  <si>
    <t>rezervace dne 18/3 J</t>
  </si>
  <si>
    <t>rezervace dne 26/11, potvrzeno dne 27/1 K, potvrzeno 18/3</t>
  </si>
  <si>
    <t>upřesnit si počty a menu</t>
  </si>
  <si>
    <t>opce do 1/5, bude? Komunikace 19/3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</si>
</sst>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7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CC"/>
      </patternFill>
    </fill>
    <fill>
      <patternFill patternType="solid">
        <fgColor theme="5" tint="0.39997558519241921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9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3" fillId="20" borderId="21" xfId="1" applyFont="1" applyFill="1" applyBorder="1" applyAlignment="1">
      <alignment horizontal="left" vertical="center" wrapText="1"/>
    </xf>
    <xf numFmtId="20" fontId="3" fillId="21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5" fillId="22" borderId="21" xfId="1" applyFont="1" applyFill="1" applyBorder="1" applyAlignment="1">
      <alignment horizontal="left" vertical="center" wrapText="1"/>
    </xf>
    <xf numFmtId="0" fontId="5" fillId="22" borderId="9" xfId="1" applyFont="1" applyFill="1" applyBorder="1" applyAlignment="1">
      <alignment horizontal="center" vertical="center" wrapText="1"/>
    </xf>
    <xf numFmtId="0" fontId="1" fillId="22" borderId="9" xfId="0" applyFont="1" applyFill="1" applyBorder="1" applyAlignment="1">
      <alignment horizontal="center" vertical="center" wrapText="1"/>
    </xf>
    <xf numFmtId="20" fontId="5" fillId="22" borderId="9" xfId="1" applyNumberFormat="1" applyFont="1" applyFill="1" applyBorder="1" applyAlignment="1">
      <alignment horizontal="center" vertical="center" wrapText="1"/>
    </xf>
    <xf numFmtId="0" fontId="1" fillId="22" borderId="22" xfId="0" applyFont="1" applyFill="1" applyBorder="1" applyAlignment="1">
      <alignment horizontal="center" wrapText="1"/>
    </xf>
    <xf numFmtId="0" fontId="5" fillId="21" borderId="21" xfId="1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Q12" sqref="Q12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82">
        <v>45835</v>
      </c>
      <c r="C1" s="283"/>
      <c r="D1" s="69" t="s">
        <v>62</v>
      </c>
      <c r="E1" s="193"/>
      <c r="F1" s="194"/>
      <c r="G1" s="194"/>
      <c r="H1" s="305" t="s">
        <v>32</v>
      </c>
      <c r="I1" s="306"/>
      <c r="J1" s="273"/>
      <c r="K1" s="274"/>
      <c r="L1" s="275"/>
      <c r="M1" s="276" t="s">
        <v>60</v>
      </c>
      <c r="N1" s="272"/>
      <c r="O1" s="277"/>
      <c r="P1" s="278"/>
    </row>
    <row r="2" spans="1:17" ht="18" customHeight="1" thickBot="1" x14ac:dyDescent="0.3">
      <c r="A2" s="70"/>
      <c r="B2" s="70"/>
      <c r="C2" s="71"/>
      <c r="D2" s="81" t="s">
        <v>63</v>
      </c>
      <c r="E2" s="264"/>
      <c r="F2" s="265"/>
      <c r="G2" s="266"/>
      <c r="H2" s="70"/>
      <c r="I2" s="71"/>
      <c r="J2" s="71"/>
      <c r="K2" s="35"/>
      <c r="L2" s="35"/>
      <c r="M2" s="72" t="s">
        <v>59</v>
      </c>
      <c r="N2" s="73"/>
      <c r="O2" s="279"/>
      <c r="P2" s="275"/>
    </row>
    <row r="3" spans="1:17" ht="18" customHeight="1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71" t="s">
        <v>61</v>
      </c>
      <c r="N3" s="272"/>
      <c r="O3" s="269"/>
      <c r="P3" s="270"/>
    </row>
    <row r="4" spans="1:17" ht="15.75" thickBot="1" x14ac:dyDescent="0.3">
      <c r="A4" s="267" t="s">
        <v>64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spans="1:17" ht="15.75" hidden="1" thickBot="1" x14ac:dyDescent="0.3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ht="25.5" x14ac:dyDescent="0.25">
      <c r="A10" s="253" t="s">
        <v>73</v>
      </c>
      <c r="B10" s="254"/>
      <c r="C10" s="255"/>
      <c r="D10" s="255">
        <v>25</v>
      </c>
      <c r="E10" s="255"/>
      <c r="F10" s="255"/>
      <c r="G10" s="255"/>
      <c r="H10" s="255"/>
      <c r="I10" s="255"/>
      <c r="J10" s="255"/>
      <c r="K10" s="255"/>
      <c r="L10" s="255"/>
      <c r="M10" s="254"/>
      <c r="N10" s="256"/>
      <c r="O10" s="256"/>
      <c r="P10" s="257" t="s">
        <v>74</v>
      </c>
      <c r="Q10" s="6"/>
    </row>
    <row r="11" spans="1:17" ht="64.5" x14ac:dyDescent="0.25">
      <c r="A11" s="258" t="s">
        <v>69</v>
      </c>
      <c r="B11" s="101"/>
      <c r="C11" s="102"/>
      <c r="D11" s="102">
        <v>25</v>
      </c>
      <c r="E11" s="102">
        <v>2</v>
      </c>
      <c r="F11" s="102"/>
      <c r="G11" s="102"/>
      <c r="H11" s="102"/>
      <c r="I11" s="102"/>
      <c r="J11" s="107" t="s">
        <v>70</v>
      </c>
      <c r="K11" s="128" t="s">
        <v>77</v>
      </c>
      <c r="L11" s="102"/>
      <c r="M11" s="101" t="s">
        <v>72</v>
      </c>
      <c r="N11" s="103" t="s">
        <v>71</v>
      </c>
      <c r="O11" s="129" t="s">
        <v>104</v>
      </c>
      <c r="P11" s="249" t="s">
        <v>103</v>
      </c>
    </row>
    <row r="12" spans="1:17" ht="51.75" x14ac:dyDescent="0.25">
      <c r="A12" s="105" t="s">
        <v>75</v>
      </c>
      <c r="B12" s="101"/>
      <c r="C12" s="102"/>
      <c r="D12" s="102">
        <v>25</v>
      </c>
      <c r="E12" s="102">
        <v>2</v>
      </c>
      <c r="F12" s="102"/>
      <c r="G12" s="102"/>
      <c r="H12" s="102"/>
      <c r="I12" s="102"/>
      <c r="J12" s="107" t="s">
        <v>70</v>
      </c>
      <c r="K12" s="128" t="s">
        <v>77</v>
      </c>
      <c r="L12" s="102"/>
      <c r="M12" s="101" t="s">
        <v>72</v>
      </c>
      <c r="N12" s="103" t="s">
        <v>71</v>
      </c>
      <c r="O12" s="103"/>
      <c r="P12" s="104" t="s">
        <v>105</v>
      </c>
    </row>
    <row r="13" spans="1:17" ht="63.75" x14ac:dyDescent="0.25">
      <c r="A13" s="110" t="s">
        <v>76</v>
      </c>
      <c r="B13" s="101"/>
      <c r="C13" s="102"/>
      <c r="D13" s="102">
        <v>16</v>
      </c>
      <c r="E13" s="102">
        <v>2</v>
      </c>
      <c r="F13" s="102"/>
      <c r="G13" s="102"/>
      <c r="H13" s="102"/>
      <c r="I13" s="102"/>
      <c r="J13" s="102" t="s">
        <v>70</v>
      </c>
      <c r="K13" s="128" t="s">
        <v>80</v>
      </c>
      <c r="L13" s="102"/>
      <c r="M13" s="101" t="s">
        <v>79</v>
      </c>
      <c r="N13" s="103" t="s">
        <v>81</v>
      </c>
      <c r="O13" s="103" t="s">
        <v>78</v>
      </c>
      <c r="P13" s="104" t="s">
        <v>91</v>
      </c>
    </row>
    <row r="14" spans="1:17" ht="25.5" x14ac:dyDescent="0.25">
      <c r="A14" s="110" t="s">
        <v>82</v>
      </c>
      <c r="B14" s="101" t="s">
        <v>71</v>
      </c>
      <c r="C14" s="102" t="s">
        <v>83</v>
      </c>
      <c r="D14" s="102">
        <v>2</v>
      </c>
      <c r="E14" s="102"/>
      <c r="F14" s="102"/>
      <c r="G14" s="102"/>
      <c r="H14" s="102"/>
      <c r="I14" s="102"/>
      <c r="J14" s="102" t="s">
        <v>84</v>
      </c>
      <c r="K14" s="102" t="s">
        <v>77</v>
      </c>
      <c r="L14" s="102"/>
      <c r="M14" s="101" t="s">
        <v>85</v>
      </c>
      <c r="N14" s="103" t="s">
        <v>71</v>
      </c>
      <c r="O14" s="103"/>
      <c r="P14" s="104" t="s">
        <v>86</v>
      </c>
    </row>
    <row r="15" spans="1:17" ht="39" x14ac:dyDescent="0.25">
      <c r="A15" s="111" t="s">
        <v>87</v>
      </c>
      <c r="B15" s="101"/>
      <c r="C15" s="102"/>
      <c r="D15" s="102"/>
      <c r="E15" s="102"/>
      <c r="F15" s="102"/>
      <c r="G15" s="102"/>
      <c r="H15" s="102"/>
      <c r="I15" s="102"/>
      <c r="J15" s="102" t="s">
        <v>70</v>
      </c>
      <c r="K15" s="102" t="s">
        <v>77</v>
      </c>
      <c r="L15" s="102" t="s">
        <v>89</v>
      </c>
      <c r="M15" s="101" t="s">
        <v>88</v>
      </c>
      <c r="N15" s="103" t="s">
        <v>71</v>
      </c>
      <c r="O15" s="103"/>
      <c r="P15" s="104" t="s">
        <v>90</v>
      </c>
    </row>
    <row r="16" spans="1:17" ht="40.5" customHeight="1" x14ac:dyDescent="0.25">
      <c r="A16" s="250" t="s">
        <v>82</v>
      </c>
      <c r="B16" s="101" t="s">
        <v>92</v>
      </c>
      <c r="C16" s="102" t="s">
        <v>93</v>
      </c>
      <c r="D16" s="102">
        <v>2</v>
      </c>
      <c r="E16" s="102"/>
      <c r="F16" s="102"/>
      <c r="G16" s="102"/>
      <c r="H16" s="102"/>
      <c r="I16" s="102"/>
      <c r="J16" s="102" t="s">
        <v>94</v>
      </c>
      <c r="K16" s="102" t="s">
        <v>77</v>
      </c>
      <c r="L16" s="102"/>
      <c r="M16" s="101" t="s">
        <v>95</v>
      </c>
      <c r="N16" s="251" t="s">
        <v>96</v>
      </c>
      <c r="O16" s="103"/>
      <c r="P16" s="252" t="s">
        <v>97</v>
      </c>
    </row>
    <row r="17" spans="1:17" ht="26.25" x14ac:dyDescent="0.25">
      <c r="A17" s="111" t="s">
        <v>98</v>
      </c>
      <c r="B17" s="101" t="s">
        <v>71</v>
      </c>
      <c r="C17" s="102"/>
      <c r="D17" s="102">
        <v>20</v>
      </c>
      <c r="E17" s="102">
        <v>2</v>
      </c>
      <c r="F17" s="102"/>
      <c r="G17" s="102"/>
      <c r="H17" s="102"/>
      <c r="I17" s="102"/>
      <c r="J17" s="102" t="s">
        <v>99</v>
      </c>
      <c r="K17" s="102" t="s">
        <v>77</v>
      </c>
      <c r="L17" s="102" t="s">
        <v>100</v>
      </c>
      <c r="M17" s="101" t="s">
        <v>101</v>
      </c>
      <c r="N17" s="103" t="s">
        <v>71</v>
      </c>
      <c r="O17" s="103"/>
      <c r="P17" s="112" t="s">
        <v>102</v>
      </c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SUM(D11:D34)</f>
        <v>90</v>
      </c>
      <c r="E35" s="174">
        <f>SUM(E9:E34)</f>
        <v>8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8"/>
      <c r="D38" s="268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62"/>
      <c r="D39" s="262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63"/>
      <c r="D40" s="263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62"/>
      <c r="D41" s="262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  <c r="R42" s="281"/>
      <c r="S42" s="281"/>
      <c r="T42" s="281"/>
      <c r="U42" s="281"/>
      <c r="V42" s="281"/>
      <c r="W42" s="281"/>
      <c r="X42" s="281"/>
      <c r="Y42" s="281"/>
    </row>
    <row r="43" spans="1:25" ht="43.5" customHeight="1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80"/>
    </row>
    <row r="45" spans="1:25" x14ac:dyDescent="0.25">
      <c r="A45" s="186" t="s">
        <v>43</v>
      </c>
      <c r="B45" s="10"/>
      <c r="C45" s="259"/>
      <c r="D45" s="259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80"/>
    </row>
    <row r="46" spans="1:25" x14ac:dyDescent="0.25">
      <c r="A46" s="186" t="s">
        <v>19</v>
      </c>
      <c r="B46" s="10"/>
      <c r="C46" s="260"/>
      <c r="D46" s="260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80"/>
    </row>
    <row r="47" spans="1:25" ht="15.75" thickBot="1" x14ac:dyDescent="0.3">
      <c r="A47" s="187" t="s">
        <v>44</v>
      </c>
      <c r="B47" s="11"/>
      <c r="C47" s="261"/>
      <c r="D47" s="261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80"/>
    </row>
    <row r="48" spans="1:25" ht="24" customHeight="1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13"/>
      <c r="V51" s="313"/>
      <c r="W51" s="313"/>
      <c r="X51" s="313"/>
      <c r="Y51" s="313"/>
      <c r="Z51" s="313"/>
      <c r="AA51" s="313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  <c r="Q52" s="19"/>
      <c r="R52" s="20"/>
      <c r="S52" s="19"/>
      <c r="U52" s="314"/>
      <c r="V52" s="314"/>
      <c r="W52" s="314"/>
      <c r="X52" s="314"/>
      <c r="Y52" s="314"/>
      <c r="Z52" s="314"/>
      <c r="AA52" s="314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  <c r="Q53" s="19"/>
      <c r="R53" s="20"/>
      <c r="S53" s="19"/>
      <c r="U53" s="314"/>
      <c r="V53" s="314"/>
      <c r="W53" s="314"/>
      <c r="X53" s="314"/>
      <c r="Y53" s="314"/>
      <c r="Z53" s="314"/>
      <c r="AA53" s="314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  <c r="Q54" s="19"/>
      <c r="R54" s="20"/>
      <c r="S54" s="19"/>
      <c r="U54" s="314"/>
      <c r="V54" s="314"/>
      <c r="W54" s="314"/>
      <c r="X54" s="314"/>
      <c r="Y54" s="314"/>
      <c r="Z54" s="314"/>
      <c r="AA54" s="314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A10" sqref="A10:P10"/>
    </sheetView>
  </sheetViews>
  <sheetFormatPr defaultRowHeight="15" x14ac:dyDescent="0.25"/>
  <sheetData>
    <row r="1" spans="1:16" ht="15.75" thickBot="1" x14ac:dyDescent="0.3">
      <c r="A1" s="69" t="s">
        <v>33</v>
      </c>
      <c r="B1" s="282"/>
      <c r="C1" s="283"/>
      <c r="D1" s="69" t="s">
        <v>62</v>
      </c>
      <c r="E1" s="193"/>
      <c r="F1" s="194"/>
      <c r="G1" s="194"/>
      <c r="H1" s="305" t="s">
        <v>32</v>
      </c>
      <c r="I1" s="306"/>
      <c r="J1" s="273"/>
      <c r="K1" s="274"/>
      <c r="L1" s="275"/>
      <c r="M1" s="276" t="s">
        <v>60</v>
      </c>
      <c r="N1" s="272"/>
      <c r="O1" s="277"/>
      <c r="P1" s="278"/>
    </row>
    <row r="2" spans="1:16" ht="15.75" thickBot="1" x14ac:dyDescent="0.3">
      <c r="A2" s="70"/>
      <c r="B2" s="70"/>
      <c r="C2" s="71"/>
      <c r="D2" s="81" t="s">
        <v>63</v>
      </c>
      <c r="E2" s="264"/>
      <c r="F2" s="265"/>
      <c r="G2" s="266"/>
      <c r="H2" s="70"/>
      <c r="I2" s="71"/>
      <c r="J2" s="71"/>
      <c r="K2" s="35"/>
      <c r="L2" s="35"/>
      <c r="M2" s="72" t="s">
        <v>59</v>
      </c>
      <c r="N2" s="73"/>
      <c r="O2" s="279"/>
      <c r="P2" s="275"/>
    </row>
    <row r="3" spans="1:16" ht="15.75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71" t="s">
        <v>61</v>
      </c>
      <c r="N3" s="272"/>
      <c r="O3" s="269"/>
      <c r="P3" s="270"/>
    </row>
    <row r="4" spans="1:16" ht="15.75" thickBot="1" x14ac:dyDescent="0.3">
      <c r="A4" s="267" t="s">
        <v>34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spans="1:16" ht="15.75" thickBot="1" x14ac:dyDescent="0.3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ht="25.5" x14ac:dyDescent="0.25">
      <c r="A10" s="105" t="s">
        <v>73</v>
      </c>
      <c r="B10" s="106"/>
      <c r="C10" s="107"/>
      <c r="D10" s="107">
        <v>25</v>
      </c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 t="s">
        <v>74</v>
      </c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25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8"/>
      <c r="D38" s="268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2"/>
      <c r="D39" s="262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3"/>
      <c r="D40" s="263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</row>
    <row r="41" spans="1:16" ht="25.5" x14ac:dyDescent="0.25">
      <c r="A41" s="186" t="s">
        <v>37</v>
      </c>
      <c r="B41" s="10"/>
      <c r="C41" s="262"/>
      <c r="D41" s="262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</row>
    <row r="42" spans="1:16" ht="25.5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</row>
    <row r="43" spans="1:16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</row>
    <row r="44" spans="1:16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9"/>
      <c r="D45" s="259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60"/>
      <c r="D46" s="260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61"/>
      <c r="D47" s="261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82"/>
      <c r="C1" s="283"/>
      <c r="D1" s="69" t="s">
        <v>62</v>
      </c>
      <c r="E1" s="193"/>
      <c r="F1" s="194"/>
      <c r="G1" s="194"/>
      <c r="H1" s="305" t="s">
        <v>32</v>
      </c>
      <c r="I1" s="306"/>
      <c r="J1" s="273"/>
      <c r="K1" s="274"/>
      <c r="L1" s="275"/>
      <c r="M1" s="276" t="s">
        <v>60</v>
      </c>
      <c r="N1" s="272"/>
      <c r="O1" s="277"/>
      <c r="P1" s="278"/>
    </row>
    <row r="2" spans="1:16" ht="15.75" thickBot="1" x14ac:dyDescent="0.3">
      <c r="A2" s="70"/>
      <c r="B2" s="70"/>
      <c r="C2" s="71"/>
      <c r="D2" s="81" t="s">
        <v>63</v>
      </c>
      <c r="E2" s="264"/>
      <c r="F2" s="265"/>
      <c r="G2" s="266"/>
      <c r="H2" s="70"/>
      <c r="I2" s="71"/>
      <c r="J2" s="71"/>
      <c r="K2" s="35"/>
      <c r="L2" s="35"/>
      <c r="M2" s="72" t="s">
        <v>59</v>
      </c>
      <c r="N2" s="73"/>
      <c r="O2" s="279"/>
      <c r="P2" s="275"/>
    </row>
    <row r="3" spans="1:16" ht="15.75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71" t="s">
        <v>61</v>
      </c>
      <c r="N3" s="272"/>
      <c r="O3" s="269"/>
      <c r="P3" s="270"/>
    </row>
    <row r="4" spans="1:16" ht="15.75" thickBot="1" x14ac:dyDescent="0.3">
      <c r="A4" s="267" t="s">
        <v>68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spans="1:16" ht="15.75" thickBot="1" x14ac:dyDescent="0.3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8"/>
      <c r="D38" s="268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2"/>
      <c r="D39" s="262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3"/>
      <c r="D40" s="263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</row>
    <row r="41" spans="1:16" ht="25.5" x14ac:dyDescent="0.25">
      <c r="A41" s="186" t="s">
        <v>37</v>
      </c>
      <c r="B41" s="10"/>
      <c r="C41" s="262"/>
      <c r="D41" s="262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</row>
    <row r="42" spans="1:16" ht="25.5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</row>
    <row r="43" spans="1:16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</row>
    <row r="44" spans="1:16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9"/>
      <c r="D45" s="259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60"/>
      <c r="D46" s="260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61"/>
      <c r="D47" s="261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82"/>
      <c r="C1" s="283"/>
      <c r="D1" s="69" t="s">
        <v>62</v>
      </c>
      <c r="E1" s="193"/>
      <c r="F1" s="194"/>
      <c r="G1" s="194"/>
      <c r="H1" s="305" t="s">
        <v>32</v>
      </c>
      <c r="I1" s="306"/>
      <c r="J1" s="273"/>
      <c r="K1" s="274"/>
      <c r="L1" s="275"/>
      <c r="M1" s="276" t="s">
        <v>60</v>
      </c>
      <c r="N1" s="272"/>
      <c r="O1" s="277"/>
      <c r="P1" s="278"/>
    </row>
    <row r="2" spans="1:16" ht="15.75" thickBot="1" x14ac:dyDescent="0.3">
      <c r="A2" s="70"/>
      <c r="B2" s="70"/>
      <c r="C2" s="71"/>
      <c r="D2" s="81" t="s">
        <v>63</v>
      </c>
      <c r="E2" s="264"/>
      <c r="F2" s="265"/>
      <c r="G2" s="266"/>
      <c r="H2" s="70"/>
      <c r="I2" s="71"/>
      <c r="J2" s="71"/>
      <c r="K2" s="35"/>
      <c r="L2" s="35"/>
      <c r="M2" s="72" t="s">
        <v>59</v>
      </c>
      <c r="N2" s="73"/>
      <c r="O2" s="279"/>
      <c r="P2" s="275"/>
    </row>
    <row r="3" spans="1:16" ht="15.75" thickBot="1" x14ac:dyDescent="0.3">
      <c r="A3" s="291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3"/>
      <c r="M3" s="271" t="s">
        <v>61</v>
      </c>
      <c r="N3" s="272"/>
      <c r="O3" s="269"/>
      <c r="P3" s="270"/>
    </row>
    <row r="4" spans="1:16" ht="15.75" thickBot="1" x14ac:dyDescent="0.3">
      <c r="A4" s="267" t="s">
        <v>67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 spans="1:16" ht="15.75" thickBot="1" x14ac:dyDescent="0.3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9" t="s">
        <v>41</v>
      </c>
      <c r="D37" s="290"/>
      <c r="E37" s="294" t="s">
        <v>45</v>
      </c>
      <c r="F37" s="295"/>
      <c r="G37" s="29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8"/>
      <c r="D38" s="268"/>
      <c r="E38" s="297">
        <v>0</v>
      </c>
      <c r="F38" s="298"/>
      <c r="G38" s="29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2"/>
      <c r="D39" s="262"/>
      <c r="E39" s="297">
        <v>0</v>
      </c>
      <c r="F39" s="298"/>
      <c r="G39" s="29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3"/>
      <c r="D40" s="263"/>
      <c r="E40" s="297">
        <v>0</v>
      </c>
      <c r="F40" s="298"/>
      <c r="G40" s="299"/>
      <c r="H40" s="61"/>
      <c r="I40" s="300"/>
      <c r="J40" s="300"/>
      <c r="K40" s="300"/>
      <c r="L40" s="300"/>
      <c r="M40" s="300"/>
      <c r="N40" s="300"/>
      <c r="O40" s="300"/>
      <c r="P40" s="35"/>
    </row>
    <row r="41" spans="1:16" ht="25.5" x14ac:dyDescent="0.25">
      <c r="A41" s="186" t="s">
        <v>37</v>
      </c>
      <c r="B41" s="10"/>
      <c r="C41" s="262"/>
      <c r="D41" s="262"/>
      <c r="E41" s="297">
        <v>0</v>
      </c>
      <c r="F41" s="298"/>
      <c r="G41" s="299"/>
      <c r="H41" s="61"/>
      <c r="I41" s="301"/>
      <c r="J41" s="301"/>
      <c r="K41" s="301"/>
      <c r="L41" s="301"/>
      <c r="M41" s="301"/>
      <c r="N41" s="301"/>
      <c r="O41" s="301"/>
      <c r="P41" s="35"/>
    </row>
    <row r="42" spans="1:16" ht="25.5" x14ac:dyDescent="0.25">
      <c r="A42" s="186" t="s">
        <v>38</v>
      </c>
      <c r="B42" s="10"/>
      <c r="C42" s="286"/>
      <c r="D42" s="288"/>
      <c r="E42" s="302"/>
      <c r="F42" s="303"/>
      <c r="G42" s="304"/>
      <c r="H42" s="61"/>
      <c r="I42" s="301"/>
      <c r="J42" s="301"/>
      <c r="K42" s="301"/>
      <c r="L42" s="301"/>
      <c r="M42" s="301"/>
      <c r="N42" s="301"/>
      <c r="O42" s="301"/>
      <c r="P42" s="35"/>
    </row>
    <row r="43" spans="1:16" x14ac:dyDescent="0.25">
      <c r="A43" s="186" t="s">
        <v>40</v>
      </c>
      <c r="B43" s="10"/>
      <c r="C43" s="286"/>
      <c r="D43" s="287"/>
      <c r="E43" s="302"/>
      <c r="F43" s="303"/>
      <c r="G43" s="304"/>
      <c r="H43" s="61"/>
      <c r="I43" s="301"/>
      <c r="J43" s="301"/>
      <c r="K43" s="301"/>
      <c r="L43" s="301"/>
      <c r="M43" s="301"/>
      <c r="N43" s="301"/>
      <c r="O43" s="301"/>
      <c r="P43" s="35"/>
    </row>
    <row r="44" spans="1:16" x14ac:dyDescent="0.25">
      <c r="A44" s="186" t="s">
        <v>39</v>
      </c>
      <c r="B44" s="10"/>
      <c r="C44" s="284"/>
      <c r="D44" s="285"/>
      <c r="E44" s="302"/>
      <c r="F44" s="303"/>
      <c r="G44" s="30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9"/>
      <c r="D45" s="259"/>
      <c r="E45" s="297">
        <f>M52</f>
        <v>0</v>
      </c>
      <c r="F45" s="298"/>
      <c r="G45" s="29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60"/>
      <c r="D46" s="260"/>
      <c r="E46" s="297">
        <f t="shared" ref="E46:E47" si="0">M53</f>
        <v>0</v>
      </c>
      <c r="F46" s="298"/>
      <c r="G46" s="29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61"/>
      <c r="D47" s="261"/>
      <c r="E47" s="307">
        <f t="shared" si="0"/>
        <v>0</v>
      </c>
      <c r="F47" s="308"/>
      <c r="G47" s="30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10">
        <f>SUM(E38:E47)</f>
        <v>0</v>
      </c>
      <c r="F48" s="311"/>
      <c r="G48" s="31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6" t="s">
        <v>57</v>
      </c>
      <c r="G50" s="317"/>
      <c r="H50" s="317"/>
      <c r="I50" s="317"/>
      <c r="J50" s="317"/>
      <c r="K50" s="317"/>
      <c r="L50" s="317"/>
      <c r="M50" s="31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2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21"/>
      <c r="N54" s="34"/>
      <c r="O54" s="315"/>
      <c r="P54" s="31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21"/>
      <c r="N55" s="34"/>
      <c r="O55" s="315"/>
      <c r="P55" s="31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22"/>
      <c r="C1" s="323"/>
      <c r="D1" s="226" t="s">
        <v>62</v>
      </c>
      <c r="E1" s="227"/>
      <c r="F1" s="228"/>
      <c r="G1" s="229"/>
      <c r="H1" s="324"/>
      <c r="I1" s="325"/>
      <c r="J1" s="325"/>
      <c r="K1" s="326"/>
      <c r="L1" s="326"/>
      <c r="M1" s="327"/>
      <c r="N1" s="326"/>
      <c r="O1" s="328"/>
      <c r="P1" s="328"/>
    </row>
    <row r="2" spans="1:16" ht="15.75" thickBot="1" x14ac:dyDescent="0.3">
      <c r="A2" s="267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</row>
    <row r="3" spans="1:16" ht="15.75" hidden="1" thickBot="1" x14ac:dyDescent="0.3">
      <c r="A3" s="267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Altán_svatba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Operations</cp:lastModifiedBy>
  <cp:revision>5</cp:revision>
  <cp:lastPrinted>2018-10-31T12:39:02Z</cp:lastPrinted>
  <dcterms:created xsi:type="dcterms:W3CDTF">2014-05-15T14:58:22Z</dcterms:created>
  <dcterms:modified xsi:type="dcterms:W3CDTF">2026-03-19T13:45:06Z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