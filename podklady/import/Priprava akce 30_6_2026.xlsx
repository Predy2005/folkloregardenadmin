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2E9078E7-DCAE-4C26-B4B2-2B56DBF246B8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6" i="1"/>
  <c r="C56" i="1"/>
  <c r="B56" i="1"/>
  <c r="C57" i="1"/>
  <c r="B57" i="1"/>
  <c r="D55" i="1"/>
  <c r="C55" i="1"/>
  <c r="B55" i="1"/>
  <c r="I37" i="1"/>
  <c r="C54" i="1" s="1"/>
  <c r="D56" i="3" l="1"/>
  <c r="B56" i="4"/>
  <c r="B58" i="4" s="1"/>
  <c r="C56" i="5"/>
  <c r="C60" i="5" s="1"/>
  <c r="D56" i="4"/>
  <c r="D58" i="4" s="1"/>
  <c r="C58" i="1"/>
  <c r="C62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3"/>
  <c r="D58" i="3"/>
  <c r="C60" i="3"/>
  <c r="C58" i="5" l="1"/>
  <c r="D60" i="4"/>
  <c r="C60" i="1"/>
  <c r="B60" i="3"/>
  <c r="C60" i="4"/>
  <c r="B60" i="5"/>
  <c r="E47" i="1"/>
  <c r="D57" i="1"/>
  <c r="E48" i="1"/>
  <c r="E49" i="1"/>
  <c r="E37" i="1"/>
  <c r="D37" i="1"/>
  <c r="H37" i="1"/>
  <c r="B54" i="1" s="1"/>
  <c r="B58" i="1" s="1"/>
  <c r="B60" i="1" s="1"/>
  <c r="G37" i="1"/>
  <c r="D54" i="1" s="1"/>
  <c r="D58" i="1" l="1"/>
  <c r="D62" i="1" s="1"/>
  <c r="E50" i="1"/>
  <c r="B61" i="1" s="1"/>
  <c r="B62" i="1" s="1"/>
  <c r="D60" i="1"/>
</calcChain>
</file>

<file path=xl/sharedStrings.xml><?xml version="1.0" encoding="utf-8"?>
<sst xmlns="http://schemas.openxmlformats.org/spreadsheetml/2006/main" count="328" uniqueCount="94">
  <si>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</si>
  <si>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</si>
  <si>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</si>
  <si>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</si>
  <si>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</si>
  <si>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</si>
  <si>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</si>
  <si>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</si>
  <si>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</si>
  <si>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</si>
  <si>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</si>
  <si>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</si>
  <si>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</si>
  <si>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</si>
  <si>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</si>
  <si>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</si>
  <si>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</si>
  <si>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</si>
  <si>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</si>
  <si>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</si>
  <si>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</si>
  <si>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</si>
  <si>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</si>
  <si>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</si>
  <si>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</si>
  <si>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</si>
  <si>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</si>
  <si>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</si>
  <si>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</si>
  <si>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</si>
  <si>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</si>
  <si>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</si>
  <si>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</si>
  <si>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</si>
  <si>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</si>
  <si>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</si>
  <si>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</si>
  <si>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</si>
  <si>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</si>
  <si>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</si>
  <si>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</si>
  <si>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</si>
  <si>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</si>
  <si>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</si>
  <si>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</si>
  <si>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</si>
  <si>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</si>
  <si>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</si>
  <si>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</si>
  <si>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</si>
  <si>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</si>
  <si>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</si>
  <si>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</si>
  <si>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</si>
  <si>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</si>
  <si>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</si>
  <si>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</si>
  <si>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</si>
  <si>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</si>
  <si>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</si>
  <si>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</si>
  <si>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</si>
  <si>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</si>
  <si>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</si>
  <si>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</si>
  <si>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</si>
  <si>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</si>
  <si>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</si>
  <si>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</si>
  <si>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</si>
  <si>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</si>
  <si>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</si>
  <si>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1682RME7IG/CS</t>
  </si>
  <si>
    <t>Expat Explore MCD190626</t>
  </si>
  <si>
    <t>Librety</t>
  </si>
  <si>
    <t>880 Kč / os, fa</t>
  </si>
  <si>
    <t>x</t>
  </si>
  <si>
    <t>Fun in Prague</t>
  </si>
  <si>
    <t>Hotel Liberty - 28. října</t>
  </si>
  <si>
    <t>Hazel North</t>
  </si>
  <si>
    <t>neomezeně</t>
  </si>
  <si>
    <t>fa, stara cena</t>
  </si>
  <si>
    <t>rezervace 3/1</t>
  </si>
  <si>
    <t>18:30 - 19:00</t>
  </si>
  <si>
    <t>1x koleno, 1x veg</t>
  </si>
  <si>
    <t>rezervace 20/11, storno dne 27/1 K</t>
  </si>
  <si>
    <t>rezervace 29/9 storno 18/3 T</t>
  </si>
  <si>
    <t>rezervace 29/9 potvrzeno 18/3 T</t>
  </si>
  <si>
    <t>Mia 00436645543744</t>
  </si>
  <si>
    <t>Met travel SUN 2706 B-VPB</t>
  </si>
  <si>
    <t>losos + kuře</t>
  </si>
  <si>
    <t>Turecko</t>
  </si>
  <si>
    <t>37 eur/os, u nás</t>
  </si>
  <si>
    <t>rezervace dne 18/3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</si>
</sst>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6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windowProtection="1" tabSelected="1" zoomScaleNormal="100" workbookViewId="0">
      <pane ySplit="6" topLeftCell="A10" activePane="bottomLeft" state="frozen"/>
      <selection pane="bottomLeft" activeCell="S18" sqref="S18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7" ht="18" customHeight="1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7" ht="18" customHeight="1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7" ht="15.75" thickBot="1" x14ac:dyDescent="0.3">
      <c r="A4" s="264" t="s">
        <v>64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7" ht="15.75" hidden="1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127.5" x14ac:dyDescent="0.25">
      <c r="A9" s="251" t="s">
        <v>72</v>
      </c>
      <c r="B9" s="252" t="s">
        <v>69</v>
      </c>
      <c r="C9" s="253" t="s">
        <v>69</v>
      </c>
      <c r="D9" s="253"/>
      <c r="E9" s="253"/>
      <c r="F9" s="253"/>
      <c r="G9" s="253"/>
      <c r="H9" s="253"/>
      <c r="I9" s="253"/>
      <c r="J9" s="253" t="s">
        <v>69</v>
      </c>
      <c r="K9" s="254" t="s">
        <v>69</v>
      </c>
      <c r="L9" s="253"/>
      <c r="M9" s="252" t="s">
        <v>70</v>
      </c>
      <c r="N9" s="255">
        <v>0.79166666666666663</v>
      </c>
      <c r="O9" s="255" t="s">
        <v>71</v>
      </c>
      <c r="P9" s="250" t="s">
        <v>86</v>
      </c>
      <c r="Q9" s="6"/>
    </row>
    <row r="10" spans="1:17" ht="39" x14ac:dyDescent="0.25">
      <c r="A10" s="105" t="s">
        <v>74</v>
      </c>
      <c r="B10" s="101"/>
      <c r="C10" s="102"/>
      <c r="D10" s="102"/>
      <c r="E10" s="102"/>
      <c r="F10" s="102"/>
      <c r="G10" s="102"/>
      <c r="H10" s="102"/>
      <c r="I10" s="102"/>
      <c r="J10" s="107" t="s">
        <v>69</v>
      </c>
      <c r="K10" s="128" t="s">
        <v>69</v>
      </c>
      <c r="L10" s="102"/>
      <c r="M10" s="101" t="s">
        <v>75</v>
      </c>
      <c r="N10" s="103" t="s">
        <v>76</v>
      </c>
      <c r="O10" s="129"/>
      <c r="P10" s="247" t="s">
        <v>85</v>
      </c>
    </row>
    <row r="11" spans="1:17" s="1" customFormat="1" ht="127.5" x14ac:dyDescent="0.25">
      <c r="A11" s="105" t="s">
        <v>73</v>
      </c>
      <c r="B11" s="101" t="s">
        <v>69</v>
      </c>
      <c r="C11" s="248" t="s">
        <v>88</v>
      </c>
      <c r="D11" s="248">
        <v>20</v>
      </c>
      <c r="E11" s="248"/>
      <c r="F11" s="248"/>
      <c r="G11" s="248"/>
      <c r="H11" s="248"/>
      <c r="I11" s="248"/>
      <c r="J11" s="248" t="s">
        <v>69</v>
      </c>
      <c r="K11" s="249" t="s">
        <v>69</v>
      </c>
      <c r="L11" s="248"/>
      <c r="M11" s="101" t="s">
        <v>70</v>
      </c>
      <c r="N11" s="129">
        <v>0.79166666666666663</v>
      </c>
      <c r="O11" s="129" t="s">
        <v>71</v>
      </c>
      <c r="P11" s="250" t="s">
        <v>87</v>
      </c>
      <c r="Q11" s="6"/>
    </row>
    <row r="12" spans="1:17" s="1" customFormat="1" ht="38.25" x14ac:dyDescent="0.25">
      <c r="A12" s="105" t="s">
        <v>77</v>
      </c>
      <c r="B12" s="106" t="s">
        <v>78</v>
      </c>
      <c r="C12" s="107" t="s">
        <v>79</v>
      </c>
      <c r="D12" s="107">
        <v>2</v>
      </c>
      <c r="E12" s="107"/>
      <c r="F12" s="107"/>
      <c r="G12" s="107"/>
      <c r="H12" s="107"/>
      <c r="I12" s="107"/>
      <c r="J12" s="107" t="s">
        <v>84</v>
      </c>
      <c r="K12" s="128" t="s">
        <v>80</v>
      </c>
      <c r="L12" s="107"/>
      <c r="M12" s="106" t="s">
        <v>81</v>
      </c>
      <c r="N12" s="129" t="s">
        <v>83</v>
      </c>
      <c r="O12" s="129"/>
      <c r="P12" s="247" t="s">
        <v>82</v>
      </c>
      <c r="Q12" s="6"/>
    </row>
    <row r="13" spans="1:17" ht="26.25" x14ac:dyDescent="0.25">
      <c r="A13" s="105" t="s">
        <v>89</v>
      </c>
      <c r="B13" s="101" t="s">
        <v>76</v>
      </c>
      <c r="C13" s="102"/>
      <c r="D13" s="102">
        <v>20</v>
      </c>
      <c r="E13" s="102">
        <v>2</v>
      </c>
      <c r="F13" s="102"/>
      <c r="G13" s="102"/>
      <c r="H13" s="102"/>
      <c r="I13" s="102"/>
      <c r="J13" s="107" t="s">
        <v>90</v>
      </c>
      <c r="K13" s="128" t="s">
        <v>80</v>
      </c>
      <c r="L13" s="102" t="s">
        <v>91</v>
      </c>
      <c r="M13" s="101" t="s">
        <v>92</v>
      </c>
      <c r="N13" s="103" t="s">
        <v>76</v>
      </c>
      <c r="O13" s="129"/>
      <c r="P13" s="247" t="s">
        <v>93</v>
      </c>
    </row>
    <row r="14" spans="1:17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7" x14ac:dyDescent="0.25">
      <c r="A15" s="110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0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04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x14ac:dyDescent="0.25">
      <c r="A21" s="111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1"/>
      <c r="N21" s="103"/>
      <c r="O21" s="103"/>
      <c r="P21" s="112"/>
    </row>
    <row r="22" spans="1:17" ht="15.75" thickBot="1" x14ac:dyDescent="0.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7"/>
      <c r="O22" s="137"/>
      <c r="P22" s="138"/>
      <c r="Q22" s="2"/>
    </row>
    <row r="23" spans="1:17" s="3" customFormat="1" ht="16.5" customHeight="1" thickBot="1" x14ac:dyDescent="0.3">
      <c r="A23" s="143"/>
      <c r="B23" s="132"/>
      <c r="C23" s="132"/>
      <c r="D23" s="132"/>
      <c r="E23" s="132"/>
      <c r="F23" s="132"/>
      <c r="G23" s="133" t="s">
        <v>15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ht="15.75" thickBot="1" x14ac:dyDescent="0.3">
      <c r="A24" s="144"/>
      <c r="B24" s="145"/>
      <c r="C24" s="146"/>
      <c r="D24" s="147"/>
      <c r="E24" s="147"/>
      <c r="F24" s="147"/>
      <c r="G24" s="148"/>
      <c r="H24" s="148"/>
      <c r="I24" s="149"/>
      <c r="J24" s="147"/>
      <c r="K24" s="147"/>
      <c r="L24" s="147"/>
      <c r="M24" s="147"/>
      <c r="N24" s="150"/>
      <c r="O24" s="150"/>
      <c r="P24" s="151"/>
    </row>
    <row r="25" spans="1:17" ht="15.75" thickBot="1" x14ac:dyDescent="0.3">
      <c r="A25" s="143"/>
      <c r="B25" s="132"/>
      <c r="C25" s="132"/>
      <c r="D25" s="132"/>
      <c r="E25" s="132"/>
      <c r="F25" s="132"/>
      <c r="G25" s="133" t="s">
        <v>16</v>
      </c>
      <c r="H25" s="132"/>
      <c r="I25" s="132"/>
      <c r="J25" s="132"/>
      <c r="K25" s="132"/>
      <c r="L25" s="132"/>
      <c r="M25" s="132"/>
      <c r="N25" s="132"/>
      <c r="O25" s="132"/>
      <c r="P25" s="134"/>
    </row>
    <row r="26" spans="1:17" s="3" customFormat="1" x14ac:dyDescent="0.25">
      <c r="A26" s="139"/>
      <c r="B26" s="127"/>
      <c r="C26" s="140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30"/>
    </row>
    <row r="27" spans="1:17" ht="15.75" thickBot="1" x14ac:dyDescent="0.3">
      <c r="A27" s="152"/>
      <c r="B27" s="153"/>
      <c r="C27" s="154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6"/>
    </row>
    <row r="28" spans="1:17" ht="15.75" thickBot="1" x14ac:dyDescent="0.3">
      <c r="A28" s="143"/>
      <c r="B28" s="132"/>
      <c r="C28" s="132"/>
      <c r="D28" s="132"/>
      <c r="E28" s="132"/>
      <c r="F28" s="132"/>
      <c r="G28" s="133" t="s">
        <v>17</v>
      </c>
      <c r="H28" s="132"/>
      <c r="I28" s="132"/>
      <c r="J28" s="132"/>
      <c r="K28" s="132"/>
      <c r="L28" s="132"/>
      <c r="M28" s="132"/>
      <c r="N28" s="132"/>
      <c r="O28" s="132"/>
      <c r="P28" s="134"/>
    </row>
    <row r="29" spans="1:17" x14ac:dyDescent="0.25">
      <c r="A29" s="139"/>
      <c r="B29" s="127"/>
      <c r="C29" s="157"/>
      <c r="D29" s="158"/>
      <c r="E29" s="128"/>
      <c r="F29" s="128"/>
      <c r="G29" s="141"/>
      <c r="H29" s="141"/>
      <c r="I29" s="142"/>
      <c r="J29" s="128"/>
      <c r="K29" s="128"/>
      <c r="L29" s="158"/>
      <c r="M29" s="158"/>
      <c r="N29" s="158"/>
      <c r="O29" s="158"/>
      <c r="P29" s="159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ht="15.75" thickBot="1" x14ac:dyDescent="0.3">
      <c r="A34" s="152"/>
      <c r="B34" s="153"/>
      <c r="C34" s="160"/>
      <c r="D34" s="161"/>
      <c r="E34" s="155"/>
      <c r="F34" s="155"/>
      <c r="G34" s="162"/>
      <c r="H34" s="162"/>
      <c r="I34" s="163"/>
      <c r="J34" s="155"/>
      <c r="K34" s="155"/>
      <c r="L34" s="161"/>
      <c r="M34" s="161"/>
      <c r="N34" s="161"/>
      <c r="O34" s="161"/>
      <c r="P34" s="138"/>
    </row>
    <row r="35" spans="1:25" ht="15.75" thickBot="1" x14ac:dyDescent="0.3">
      <c r="A35" s="143"/>
      <c r="B35" s="132"/>
      <c r="C35" s="132"/>
      <c r="D35" s="132"/>
      <c r="E35" s="132"/>
      <c r="F35" s="132"/>
      <c r="G35" s="133" t="s">
        <v>18</v>
      </c>
      <c r="H35" s="132"/>
      <c r="I35" s="132"/>
      <c r="J35" s="132"/>
      <c r="K35" s="132"/>
      <c r="L35" s="132"/>
      <c r="M35" s="132"/>
      <c r="N35" s="132"/>
      <c r="O35" s="132"/>
      <c r="P35" s="134"/>
    </row>
    <row r="36" spans="1:25" s="3" customFormat="1" ht="15.75" thickBot="1" x14ac:dyDescent="0.3">
      <c r="A36" s="164"/>
      <c r="B36" s="165"/>
      <c r="C36" s="165"/>
      <c r="D36" s="165"/>
      <c r="E36" s="165"/>
      <c r="F36" s="166"/>
      <c r="G36" s="167"/>
      <c r="H36" s="167"/>
      <c r="I36" s="168"/>
      <c r="J36" s="165"/>
      <c r="K36" s="165"/>
      <c r="L36" s="165"/>
      <c r="M36" s="165"/>
      <c r="N36" s="165"/>
      <c r="O36" s="165"/>
      <c r="P36" s="169"/>
    </row>
    <row r="37" spans="1:25" ht="21.75" customHeight="1" thickBot="1" x14ac:dyDescent="0.3">
      <c r="A37" s="66"/>
      <c r="B37" s="66"/>
      <c r="C37" s="67"/>
      <c r="D37" s="174">
        <f>SUM(D10:D36)</f>
        <v>42</v>
      </c>
      <c r="E37" s="174">
        <f>SUM(E10:E36)</f>
        <v>2</v>
      </c>
      <c r="F37" s="175"/>
      <c r="G37" s="176">
        <f>SUM(G10:G36)</f>
        <v>0</v>
      </c>
      <c r="H37" s="172">
        <f>SUM(H10:H36)</f>
        <v>0</v>
      </c>
      <c r="I37" s="173">
        <f>SUM(I10:I36)</f>
        <v>0</v>
      </c>
      <c r="J37" s="63"/>
      <c r="K37" s="68"/>
      <c r="L37" s="68"/>
      <c r="M37" s="63"/>
      <c r="N37" s="63"/>
      <c r="O37" s="63"/>
      <c r="P37" s="35"/>
    </row>
    <row r="38" spans="1:25" ht="18.75" customHeight="1" thickBot="1" x14ac:dyDescent="0.3">
      <c r="A38" s="177" t="s">
        <v>47</v>
      </c>
      <c r="B38" s="178"/>
      <c r="C38" s="178"/>
      <c r="D38" s="179"/>
      <c r="E38" s="179"/>
      <c r="F38" s="180"/>
      <c r="G38" s="181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15.75" thickBot="1" x14ac:dyDescent="0.3">
      <c r="A39" s="75"/>
      <c r="B39" s="192" t="s">
        <v>42</v>
      </c>
      <c r="C39" s="286" t="s">
        <v>41</v>
      </c>
      <c r="D39" s="287"/>
      <c r="E39" s="291" t="s">
        <v>45</v>
      </c>
      <c r="F39" s="292"/>
      <c r="G39" s="293"/>
      <c r="H39" s="7"/>
      <c r="I39" s="8"/>
      <c r="J39" s="74"/>
      <c r="K39" s="74"/>
      <c r="L39" s="74"/>
      <c r="M39" s="74"/>
      <c r="N39" s="74"/>
      <c r="O39" s="74"/>
      <c r="P39" s="35"/>
    </row>
    <row r="40" spans="1:25" ht="96.75" customHeight="1" x14ac:dyDescent="0.25">
      <c r="A40" s="191" t="s">
        <v>35</v>
      </c>
      <c r="B40" s="12"/>
      <c r="C40" s="265"/>
      <c r="D40" s="265"/>
      <c r="E40" s="294">
        <v>0</v>
      </c>
      <c r="F40" s="295"/>
      <c r="G40" s="296"/>
      <c r="H40" s="61"/>
      <c r="I40" s="62"/>
      <c r="J40" s="35"/>
      <c r="K40" s="35"/>
      <c r="L40" s="35"/>
      <c r="M40" s="35"/>
      <c r="N40" s="35"/>
      <c r="O40" s="35"/>
      <c r="P40" s="35"/>
    </row>
    <row r="41" spans="1:25" s="3" customFormat="1" x14ac:dyDescent="0.25">
      <c r="A41" s="186" t="s">
        <v>31</v>
      </c>
      <c r="B41" s="9"/>
      <c r="C41" s="259"/>
      <c r="D41" s="259"/>
      <c r="E41" s="294">
        <v>0</v>
      </c>
      <c r="F41" s="295"/>
      <c r="G41" s="296"/>
      <c r="H41" s="61"/>
      <c r="I41" s="62"/>
      <c r="J41" s="62"/>
      <c r="K41" s="62"/>
      <c r="L41" s="62"/>
      <c r="M41" s="62"/>
      <c r="N41" s="62"/>
      <c r="O41" s="62"/>
      <c r="P41" s="62"/>
      <c r="R41" s="47"/>
      <c r="S41" s="47"/>
      <c r="T41" s="47"/>
      <c r="U41" s="47"/>
      <c r="V41" s="47"/>
      <c r="W41" s="47"/>
      <c r="X41" s="47"/>
      <c r="Y41" s="47"/>
    </row>
    <row r="42" spans="1:25" x14ac:dyDescent="0.25">
      <c r="A42" s="186" t="s">
        <v>36</v>
      </c>
      <c r="B42" s="10"/>
      <c r="C42" s="260"/>
      <c r="D42" s="260"/>
      <c r="E42" s="294">
        <v>0</v>
      </c>
      <c r="F42" s="295"/>
      <c r="G42" s="296"/>
      <c r="H42" s="61"/>
      <c r="I42" s="297"/>
      <c r="J42" s="297"/>
      <c r="K42" s="297"/>
      <c r="L42" s="297"/>
      <c r="M42" s="297"/>
      <c r="N42" s="297"/>
      <c r="O42" s="297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66" customHeight="1" x14ac:dyDescent="0.25">
      <c r="A43" s="186" t="s">
        <v>37</v>
      </c>
      <c r="B43" s="10"/>
      <c r="C43" s="259"/>
      <c r="D43" s="259"/>
      <c r="E43" s="294">
        <v>0</v>
      </c>
      <c r="F43" s="295"/>
      <c r="G43" s="296"/>
      <c r="H43" s="61"/>
      <c r="I43" s="298"/>
      <c r="J43" s="298"/>
      <c r="K43" s="298"/>
      <c r="L43" s="298"/>
      <c r="M43" s="298"/>
      <c r="N43" s="298"/>
      <c r="O43" s="298"/>
      <c r="P43" s="35"/>
      <c r="R43" s="48"/>
      <c r="S43" s="48"/>
      <c r="T43" s="48"/>
      <c r="U43" s="48"/>
      <c r="V43" s="48"/>
      <c r="W43" s="48"/>
      <c r="X43" s="48"/>
      <c r="Y43" s="48"/>
    </row>
    <row r="44" spans="1:25" ht="18" customHeight="1" x14ac:dyDescent="0.25">
      <c r="A44" s="186" t="s">
        <v>38</v>
      </c>
      <c r="B44" s="10"/>
      <c r="C44" s="283"/>
      <c r="D44" s="285"/>
      <c r="E44" s="299"/>
      <c r="F44" s="300"/>
      <c r="G44" s="301"/>
      <c r="H44" s="61"/>
      <c r="I44" s="298"/>
      <c r="J44" s="298"/>
      <c r="K44" s="298"/>
      <c r="L44" s="298"/>
      <c r="M44" s="298"/>
      <c r="N44" s="298"/>
      <c r="O44" s="298"/>
      <c r="P44" s="35"/>
      <c r="R44" s="278"/>
      <c r="S44" s="278"/>
      <c r="T44" s="278"/>
      <c r="U44" s="278"/>
      <c r="V44" s="278"/>
      <c r="W44" s="278"/>
      <c r="X44" s="278"/>
      <c r="Y44" s="278"/>
    </row>
    <row r="45" spans="1:25" ht="43.5" customHeight="1" x14ac:dyDescent="0.25">
      <c r="A45" s="186" t="s">
        <v>40</v>
      </c>
      <c r="B45" s="10"/>
      <c r="C45" s="283"/>
      <c r="D45" s="284"/>
      <c r="E45" s="299"/>
      <c r="F45" s="300"/>
      <c r="G45" s="301"/>
      <c r="H45" s="61"/>
      <c r="I45" s="298"/>
      <c r="J45" s="298"/>
      <c r="K45" s="298"/>
      <c r="L45" s="298"/>
      <c r="M45" s="298"/>
      <c r="N45" s="298"/>
      <c r="O45" s="298"/>
      <c r="P45" s="35"/>
      <c r="R45" s="49"/>
      <c r="S45" s="50"/>
      <c r="T45" s="50"/>
      <c r="U45" s="50"/>
      <c r="V45" s="50"/>
      <c r="W45" s="50"/>
      <c r="X45" s="50"/>
      <c r="Y45" s="50"/>
    </row>
    <row r="46" spans="1:25" s="3" customFormat="1" ht="45.75" customHeight="1" x14ac:dyDescent="0.25">
      <c r="A46" s="186" t="s">
        <v>39</v>
      </c>
      <c r="B46" s="10"/>
      <c r="C46" s="281"/>
      <c r="D46" s="282"/>
      <c r="E46" s="299"/>
      <c r="F46" s="300"/>
      <c r="G46" s="301"/>
      <c r="H46" s="61"/>
      <c r="I46" s="62"/>
      <c r="J46" s="62"/>
      <c r="K46" s="62"/>
      <c r="L46" s="62"/>
      <c r="M46" s="62"/>
      <c r="N46" s="62"/>
      <c r="O46" s="62"/>
      <c r="P46" s="62"/>
      <c r="R46" s="51"/>
      <c r="S46" s="52"/>
      <c r="T46" s="52"/>
      <c r="U46" s="53"/>
      <c r="V46" s="54"/>
      <c r="W46" s="55"/>
      <c r="X46" s="56"/>
      <c r="Y46" s="277"/>
    </row>
    <row r="47" spans="1:25" x14ac:dyDescent="0.25">
      <c r="A47" s="186" t="s">
        <v>43</v>
      </c>
      <c r="B47" s="10"/>
      <c r="C47" s="256"/>
      <c r="D47" s="256"/>
      <c r="E47" s="294">
        <f>M54</f>
        <v>0</v>
      </c>
      <c r="F47" s="295"/>
      <c r="G47" s="296"/>
      <c r="H47" s="61"/>
      <c r="I47" s="61"/>
      <c r="J47" s="35"/>
      <c r="K47" s="35"/>
      <c r="L47" s="35"/>
      <c r="M47" s="35"/>
      <c r="N47" s="35"/>
      <c r="O47" s="35"/>
      <c r="P47" s="35"/>
      <c r="R47" s="51"/>
      <c r="S47" s="49"/>
      <c r="T47" s="49"/>
      <c r="U47" s="57"/>
      <c r="V47" s="58"/>
      <c r="W47" s="59"/>
      <c r="X47" s="60"/>
      <c r="Y47" s="277"/>
    </row>
    <row r="48" spans="1:25" x14ac:dyDescent="0.25">
      <c r="A48" s="186" t="s">
        <v>19</v>
      </c>
      <c r="B48" s="10"/>
      <c r="C48" s="257"/>
      <c r="D48" s="257"/>
      <c r="E48" s="294">
        <f t="shared" ref="E48:E49" si="0">M55</f>
        <v>0</v>
      </c>
      <c r="F48" s="295"/>
      <c r="G48" s="296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52"/>
      <c r="T48" s="52"/>
      <c r="U48" s="53"/>
      <c r="V48" s="54"/>
      <c r="W48" s="55"/>
      <c r="X48" s="56"/>
      <c r="Y48" s="277"/>
    </row>
    <row r="49" spans="1:27" ht="15.75" thickBot="1" x14ac:dyDescent="0.3">
      <c r="A49" s="187" t="s">
        <v>44</v>
      </c>
      <c r="B49" s="11"/>
      <c r="C49" s="258"/>
      <c r="D49" s="258"/>
      <c r="E49" s="304">
        <f t="shared" si="0"/>
        <v>0</v>
      </c>
      <c r="F49" s="305"/>
      <c r="G49" s="306"/>
      <c r="H49" s="61"/>
      <c r="I49" s="61"/>
      <c r="J49" s="61"/>
      <c r="K49" s="61"/>
      <c r="L49" s="63"/>
      <c r="M49" s="63"/>
      <c r="N49" s="63"/>
      <c r="O49" s="63"/>
      <c r="P49" s="35"/>
      <c r="R49" s="51"/>
      <c r="S49" s="49"/>
      <c r="T49" s="49"/>
      <c r="U49" s="57"/>
      <c r="V49" s="58"/>
      <c r="W49" s="59"/>
      <c r="X49" s="60"/>
      <c r="Y49" s="277"/>
    </row>
    <row r="50" spans="1:27" ht="24" customHeight="1" thickBot="1" x14ac:dyDescent="0.3">
      <c r="A50" s="65"/>
      <c r="B50" s="65"/>
      <c r="C50" s="65"/>
      <c r="D50" s="206" t="s">
        <v>46</v>
      </c>
      <c r="E50" s="307">
        <f>SUM(E40:E49)</f>
        <v>0</v>
      </c>
      <c r="F50" s="308"/>
      <c r="G50" s="309"/>
      <c r="H50" s="64"/>
      <c r="I50" s="64"/>
      <c r="J50" s="61"/>
      <c r="K50" s="61"/>
      <c r="L50" s="63"/>
      <c r="M50" s="63"/>
      <c r="N50" s="63"/>
      <c r="O50" s="63"/>
      <c r="P50" s="35"/>
      <c r="Q50" s="15"/>
      <c r="R50" s="14"/>
      <c r="S50" s="13"/>
      <c r="V50" s="4"/>
      <c r="W50" s="4"/>
      <c r="X50" s="5"/>
      <c r="Y50" s="5"/>
    </row>
    <row r="51" spans="1:27" ht="15.75" thickBot="1" x14ac:dyDescent="0.3">
      <c r="A51" s="210" t="s">
        <v>48</v>
      </c>
      <c r="B51" s="211"/>
      <c r="C51" s="211"/>
      <c r="D51" s="212"/>
      <c r="E51" s="35"/>
      <c r="F51" s="35"/>
      <c r="G51" s="35"/>
      <c r="H51" s="35"/>
      <c r="I51" s="35"/>
      <c r="J51" s="64"/>
      <c r="K51" s="64"/>
      <c r="L51" s="34"/>
      <c r="M51" s="34"/>
      <c r="N51" s="34"/>
      <c r="O51" s="34"/>
      <c r="P51" s="35"/>
      <c r="Q51" s="15"/>
      <c r="R51" s="15"/>
      <c r="S51" s="15"/>
    </row>
    <row r="52" spans="1:27" ht="15.75" thickBot="1" x14ac:dyDescent="0.3">
      <c r="A52" s="43"/>
      <c r="B52" s="44" t="s">
        <v>7</v>
      </c>
      <c r="C52" s="45" t="s">
        <v>20</v>
      </c>
      <c r="D52" s="46" t="s">
        <v>6</v>
      </c>
      <c r="E52" s="17"/>
      <c r="F52" s="313" t="s">
        <v>57</v>
      </c>
      <c r="G52" s="314"/>
      <c r="H52" s="314"/>
      <c r="I52" s="314"/>
      <c r="J52" s="314"/>
      <c r="K52" s="314"/>
      <c r="L52" s="314"/>
      <c r="M52" s="315"/>
      <c r="N52" s="27"/>
      <c r="O52" s="27"/>
      <c r="P52" s="16"/>
      <c r="Q52" s="17"/>
      <c r="R52" s="17"/>
      <c r="S52" s="17"/>
      <c r="U52" s="15"/>
      <c r="V52" s="15"/>
      <c r="W52" s="15"/>
      <c r="X52" s="15"/>
      <c r="Y52" s="15"/>
      <c r="Z52" s="15"/>
      <c r="AA52" s="15"/>
    </row>
    <row r="53" spans="1:27" ht="26.25" thickBot="1" x14ac:dyDescent="0.3">
      <c r="A53" s="182" t="s">
        <v>50</v>
      </c>
      <c r="B53" s="195"/>
      <c r="C53" s="196"/>
      <c r="D53" s="197"/>
      <c r="E53" s="19"/>
      <c r="F53" s="38"/>
      <c r="G53" s="93" t="s">
        <v>22</v>
      </c>
      <c r="H53" s="94" t="s">
        <v>23</v>
      </c>
      <c r="I53" s="94" t="s">
        <v>24</v>
      </c>
      <c r="J53" s="94" t="s">
        <v>25</v>
      </c>
      <c r="K53" s="94" t="s">
        <v>26</v>
      </c>
      <c r="L53" s="94" t="s">
        <v>27</v>
      </c>
      <c r="M53" s="95" t="s">
        <v>28</v>
      </c>
      <c r="N53" s="17"/>
      <c r="O53" s="17"/>
      <c r="P53" s="18"/>
      <c r="Q53" s="19"/>
      <c r="R53" s="20"/>
      <c r="S53" s="19"/>
      <c r="U53" s="310"/>
      <c r="V53" s="310"/>
      <c r="W53" s="310"/>
      <c r="X53" s="310"/>
      <c r="Y53" s="310"/>
      <c r="Z53" s="310"/>
      <c r="AA53" s="310"/>
    </row>
    <row r="54" spans="1:27" x14ac:dyDescent="0.25">
      <c r="A54" s="183" t="s">
        <v>51</v>
      </c>
      <c r="B54" s="198">
        <f>H37</f>
        <v>0</v>
      </c>
      <c r="C54" s="199">
        <f>I37</f>
        <v>0</v>
      </c>
      <c r="D54" s="200">
        <f>G37</f>
        <v>0</v>
      </c>
      <c r="E54" s="19"/>
      <c r="F54" s="188" t="s">
        <v>29</v>
      </c>
      <c r="G54" s="40"/>
      <c r="H54" s="39"/>
      <c r="I54" s="96"/>
      <c r="J54" s="97"/>
      <c r="K54" s="98"/>
      <c r="L54" s="99"/>
      <c r="M54" s="316"/>
      <c r="N54" s="16"/>
      <c r="O54" s="16"/>
      <c r="P54" s="16"/>
      <c r="Q54" s="19"/>
      <c r="R54" s="20"/>
      <c r="S54" s="19"/>
      <c r="U54" s="311"/>
      <c r="V54" s="311"/>
      <c r="W54" s="311"/>
      <c r="X54" s="311"/>
      <c r="Y54" s="311"/>
      <c r="Z54" s="311"/>
      <c r="AA54" s="311"/>
    </row>
    <row r="55" spans="1:27" ht="15.75" customHeight="1" thickBot="1" x14ac:dyDescent="0.3">
      <c r="A55" s="184" t="s">
        <v>52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30</v>
      </c>
      <c r="G55" s="41"/>
      <c r="H55" s="37"/>
      <c r="I55" s="82"/>
      <c r="J55" s="83"/>
      <c r="K55" s="84"/>
      <c r="L55" s="100"/>
      <c r="M55" s="317"/>
      <c r="N55" s="26"/>
      <c r="O55" s="26"/>
      <c r="P55" s="26"/>
      <c r="Q55" s="19"/>
      <c r="R55" s="20"/>
      <c r="S55" s="19"/>
      <c r="U55" s="311"/>
      <c r="V55" s="311"/>
      <c r="W55" s="311"/>
      <c r="X55" s="311"/>
      <c r="Y55" s="311"/>
      <c r="Z55" s="311"/>
      <c r="AA55" s="311"/>
    </row>
    <row r="56" spans="1:27" ht="15" customHeight="1" x14ac:dyDescent="0.25">
      <c r="A56" s="184" t="s">
        <v>53</v>
      </c>
      <c r="B56" s="198">
        <f>I57</f>
        <v>0</v>
      </c>
      <c r="C56" s="201">
        <f>J57</f>
        <v>0</v>
      </c>
      <c r="D56" s="202">
        <f>L57</f>
        <v>0</v>
      </c>
      <c r="E56" s="19"/>
      <c r="F56" s="189" t="s">
        <v>21</v>
      </c>
      <c r="G56" s="41"/>
      <c r="H56" s="37"/>
      <c r="I56" s="85"/>
      <c r="J56" s="86"/>
      <c r="K56" s="87"/>
      <c r="L56" s="88"/>
      <c r="M56" s="318"/>
      <c r="N56" s="34"/>
      <c r="O56" s="312"/>
      <c r="P56" s="312"/>
      <c r="Q56" s="19"/>
      <c r="R56" s="20"/>
      <c r="S56" s="19"/>
      <c r="U56" s="311"/>
      <c r="V56" s="311"/>
      <c r="W56" s="311"/>
      <c r="X56" s="311"/>
      <c r="Y56" s="311"/>
      <c r="Z56" s="311"/>
      <c r="AA56" s="311"/>
    </row>
    <row r="57" spans="1:27" ht="15.75" thickBot="1" x14ac:dyDescent="0.3">
      <c r="A57" s="185" t="s">
        <v>43</v>
      </c>
      <c r="B57" s="203">
        <f>I54</f>
        <v>0</v>
      </c>
      <c r="C57" s="204">
        <f>J54</f>
        <v>0</v>
      </c>
      <c r="D57" s="205">
        <f>L54+L55</f>
        <v>0</v>
      </c>
      <c r="E57" s="21"/>
      <c r="F57" s="190" t="s">
        <v>58</v>
      </c>
      <c r="G57" s="42"/>
      <c r="H57" s="36"/>
      <c r="I57" s="89"/>
      <c r="J57" s="90"/>
      <c r="K57" s="91"/>
      <c r="L57" s="92"/>
      <c r="M57" s="318"/>
      <c r="N57" s="34"/>
      <c r="O57" s="312"/>
      <c r="P57" s="312"/>
      <c r="Q57" s="21"/>
      <c r="R57" s="20"/>
      <c r="S57" s="19"/>
    </row>
    <row r="58" spans="1:27" ht="15.75" thickBot="1" x14ac:dyDescent="0.3">
      <c r="A58" s="213" t="s">
        <v>56</v>
      </c>
      <c r="B58" s="207">
        <f>SUM(B53:B57)</f>
        <v>0</v>
      </c>
      <c r="C58" s="208">
        <f>SUM(C53:C57)</f>
        <v>0</v>
      </c>
      <c r="D58" s="209">
        <f>SUM(D53:D57)</f>
        <v>0</v>
      </c>
      <c r="E58" s="76"/>
      <c r="F58" s="28"/>
      <c r="G58" s="29"/>
      <c r="H58" s="29"/>
      <c r="I58" s="33"/>
      <c r="J58" s="30"/>
      <c r="K58" s="31"/>
      <c r="L58" s="32"/>
      <c r="M58" s="33"/>
      <c r="N58" s="34"/>
      <c r="O58" s="27"/>
      <c r="P58" s="27"/>
      <c r="Q58" s="22"/>
      <c r="R58" s="23"/>
      <c r="S58" s="22"/>
    </row>
    <row r="59" spans="1:27" ht="15.75" thickBot="1" x14ac:dyDescent="0.3">
      <c r="A59" s="219" t="s">
        <v>49</v>
      </c>
      <c r="B59" s="220"/>
      <c r="C59" s="221"/>
      <c r="D59" s="222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7" customHeight="1" thickBot="1" x14ac:dyDescent="0.3">
      <c r="A60" s="218" t="s">
        <v>54</v>
      </c>
      <c r="B60" s="216">
        <f>B58</f>
        <v>0</v>
      </c>
      <c r="C60" s="217">
        <f>C58</f>
        <v>0</v>
      </c>
      <c r="D60" s="216">
        <f>D58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18" t="s">
        <v>55</v>
      </c>
      <c r="B61" s="216">
        <f>E50</f>
        <v>0</v>
      </c>
      <c r="C61" s="214"/>
      <c r="D61" s="215"/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ht="21.75" customHeight="1" thickBot="1" x14ac:dyDescent="0.3">
      <c r="A62" s="223" t="s">
        <v>49</v>
      </c>
      <c r="B62" s="224">
        <f>B60-B61</f>
        <v>0</v>
      </c>
      <c r="C62" s="225">
        <f>C58</f>
        <v>0</v>
      </c>
      <c r="D62" s="224">
        <f>D58</f>
        <v>0</v>
      </c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  <c r="P63" s="35"/>
      <c r="Q63" s="15"/>
      <c r="R63" s="15"/>
      <c r="S63" s="15"/>
    </row>
    <row r="64" spans="1:27" x14ac:dyDescent="0.25">
      <c r="E64" s="35"/>
      <c r="F64" s="35"/>
      <c r="G64" s="35"/>
      <c r="H64" s="35"/>
      <c r="I64" s="35"/>
      <c r="J64" s="35"/>
      <c r="K64" s="35"/>
      <c r="L64" s="79"/>
      <c r="M64" s="79"/>
      <c r="N64" s="79"/>
      <c r="O64" s="79"/>
    </row>
    <row r="67" ht="37.5" customHeight="1" x14ac:dyDescent="0.25"/>
  </sheetData>
  <mergeCells count="46">
    <mergeCell ref="E49:G49"/>
    <mergeCell ref="E50:G50"/>
    <mergeCell ref="E45:G45"/>
    <mergeCell ref="U53:AA53"/>
    <mergeCell ref="U54:AA56"/>
    <mergeCell ref="O56:O57"/>
    <mergeCell ref="P56:P57"/>
    <mergeCell ref="F52:M52"/>
    <mergeCell ref="M54:M55"/>
    <mergeCell ref="M56:M57"/>
    <mergeCell ref="E47:G47"/>
    <mergeCell ref="E48:G48"/>
    <mergeCell ref="B1:C1"/>
    <mergeCell ref="C46:D46"/>
    <mergeCell ref="C45:D45"/>
    <mergeCell ref="C44:D44"/>
    <mergeCell ref="C39:D39"/>
    <mergeCell ref="A3:L3"/>
    <mergeCell ref="E39:G39"/>
    <mergeCell ref="E40:G40"/>
    <mergeCell ref="E42:G42"/>
    <mergeCell ref="E41:G41"/>
    <mergeCell ref="I42:O42"/>
    <mergeCell ref="I43:O45"/>
    <mergeCell ref="E43:G43"/>
    <mergeCell ref="E44:G44"/>
    <mergeCell ref="E46:G46"/>
    <mergeCell ref="H1:I1"/>
    <mergeCell ref="J1:L1"/>
    <mergeCell ref="M1:N1"/>
    <mergeCell ref="O1:P1"/>
    <mergeCell ref="O2:P2"/>
    <mergeCell ref="Y48:Y49"/>
    <mergeCell ref="Y46:Y47"/>
    <mergeCell ref="R44:Y44"/>
    <mergeCell ref="E2:G2"/>
    <mergeCell ref="A4:P5"/>
    <mergeCell ref="C40:D40"/>
    <mergeCell ref="O3:P3"/>
    <mergeCell ref="M3:N3"/>
    <mergeCell ref="C47:D47"/>
    <mergeCell ref="C48:D48"/>
    <mergeCell ref="C49:D49"/>
    <mergeCell ref="C41:D41"/>
    <mergeCell ref="C42:D42"/>
    <mergeCell ref="C43:D43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34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68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9"/>
      <c r="C1" s="320"/>
      <c r="D1" s="226" t="s">
        <v>62</v>
      </c>
      <c r="E1" s="227"/>
      <c r="F1" s="228"/>
      <c r="G1" s="229"/>
      <c r="H1" s="321"/>
      <c r="I1" s="322"/>
      <c r="J1" s="322"/>
      <c r="K1" s="323"/>
      <c r="L1" s="323"/>
      <c r="M1" s="324"/>
      <c r="N1" s="323"/>
      <c r="O1" s="325"/>
      <c r="P1" s="325"/>
    </row>
    <row r="2" spans="1:16" ht="15.75" thickBot="1" x14ac:dyDescent="0.3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</row>
    <row r="3" spans="1:16" ht="15.75" hidden="1" thickBot="1" x14ac:dyDescent="0.3">
      <c r="A3" s="264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2026-03-18T14:19:43Z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