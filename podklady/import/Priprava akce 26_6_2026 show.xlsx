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4CFCE65B-00BE-4C0F-82C3-00C0714983AE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D56" i="5" s="1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D56" i="3" s="1"/>
  <c r="E35" i="3"/>
  <c r="D35" i="3"/>
  <c r="D55" i="1"/>
  <c r="C55" i="1"/>
  <c r="B55" i="1"/>
  <c r="C56" i="1"/>
  <c r="B56" i="1"/>
  <c r="D54" i="1"/>
  <c r="C54" i="1"/>
  <c r="B54" i="1"/>
  <c r="I36" i="1"/>
  <c r="C53" i="1" s="1"/>
  <c r="B56" i="4" l="1"/>
  <c r="B58" i="4" s="1"/>
  <c r="C56" i="5"/>
  <c r="D56" i="4"/>
  <c r="D58" i="4" s="1"/>
  <c r="C57" i="1"/>
  <c r="C61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C58" i="5"/>
  <c r="D60" i="5"/>
  <c r="D58" i="5"/>
  <c r="D60" i="4"/>
  <c r="D60" i="3"/>
  <c r="D58" i="3"/>
  <c r="C60" i="3"/>
  <c r="C59" i="1" l="1"/>
  <c r="B60" i="3"/>
  <c r="C60" i="4"/>
  <c r="B60" i="5"/>
  <c r="E46" i="1"/>
  <c r="D56" i="1"/>
  <c r="E47" i="1"/>
  <c r="E48" i="1"/>
  <c r="E36" i="1"/>
  <c r="D36" i="1"/>
  <c r="H36" i="1"/>
  <c r="B53" i="1" s="1"/>
  <c r="B57" i="1" s="1"/>
  <c r="B59" i="1" s="1"/>
  <c r="G36" i="1"/>
  <c r="D53" i="1" s="1"/>
  <c r="D57" i="1" s="1"/>
  <c r="E49" i="1" l="1"/>
  <c r="B60" i="1" s="1"/>
  <c r="B61" i="1" s="1"/>
  <c r="D61" i="1"/>
  <c r="D59" i="1"/>
</calcChain>
</file>

<file path=xl/sharedStrings.xml><?xml version="1.0" encoding="utf-8"?>
<sst xmlns="http://schemas.openxmlformats.org/spreadsheetml/2006/main" count="359" uniqueCount="108">
  <si>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</si>
  <si>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</si>
  <si>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</si>
  <si>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</si>
  <si>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</si>
  <si>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</si>
  <si>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</si>
  <si>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</si>
  <si>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</si>
  <si>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</si>
  <si>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</si>
  <si>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</si>
  <si>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</si>
  <si>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</si>
  <si>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</si>
  <si>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</si>
  <si>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</si>
  <si>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</si>
  <si>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</si>
  <si>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</si>
  <si>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</si>
  <si>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</si>
  <si>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</si>
  <si>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</si>
  <si>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</si>
  <si>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</si>
  <si>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</si>
  <si>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</si>
  <si>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</si>
  <si>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</si>
  <si>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</si>
  <si>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</si>
  <si>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</si>
  <si>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</si>
  <si>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</si>
  <si>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</si>
  <si>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</si>
  <si>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</si>
  <si>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</si>
  <si>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</si>
  <si>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</si>
  <si>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</si>
  <si>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</si>
  <si>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</si>
  <si>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</si>
  <si>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</si>
  <si>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</si>
  <si>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</si>
  <si>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</si>
  <si>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</si>
  <si>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</si>
  <si>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</si>
  <si>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</si>
  <si>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</si>
  <si>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</si>
  <si>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</si>
  <si>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</si>
  <si>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</si>
  <si>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</si>
  <si>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</si>
  <si>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</si>
  <si>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</si>
  <si>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</si>
  <si>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</si>
  <si>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</si>
  <si>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</si>
  <si>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</si>
  <si>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</si>
  <si>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</si>
  <si>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IWI TOUR, SK. 1</t>
  </si>
  <si>
    <t>X</t>
  </si>
  <si>
    <t>tradiční</t>
  </si>
  <si>
    <t>bez pití</t>
  </si>
  <si>
    <t>Německo</t>
  </si>
  <si>
    <t>26 eur/os., fa</t>
  </si>
  <si>
    <t>invalidní branka</t>
  </si>
  <si>
    <t>rezervace dne 17/10</t>
  </si>
  <si>
    <t>IWI TOUR, SK. 2</t>
  </si>
  <si>
    <t>Ivanová, sk. BOHEMIA</t>
  </si>
  <si>
    <t>upřesnit</t>
  </si>
  <si>
    <t>tradice</t>
  </si>
  <si>
    <t>neomezeně</t>
  </si>
  <si>
    <t>Bulharsko</t>
  </si>
  <si>
    <t>1200 Kč/os. Platí TL  u nás</t>
  </si>
  <si>
    <t>upřesnit si počty těsně před</t>
  </si>
  <si>
    <t>rezervace dne 13/2, Kam</t>
  </si>
  <si>
    <t>Asla travel group</t>
  </si>
  <si>
    <t>790 Kč/os proforma</t>
  </si>
  <si>
    <t>x</t>
  </si>
  <si>
    <t>vystavit proformu  květen (2x učitel zdarma zapsáno)</t>
  </si>
  <si>
    <t>rezervace 12/3 V</t>
  </si>
  <si>
    <t>Met travel MET 2106 BVP</t>
  </si>
  <si>
    <t xml:space="preserve">losos + kuře </t>
  </si>
  <si>
    <t xml:space="preserve">neomezeně </t>
  </si>
  <si>
    <t>Turecko</t>
  </si>
  <si>
    <t xml:space="preserve">37 eur/os, u nás </t>
  </si>
  <si>
    <t>rezervace dne 18/3 J</t>
  </si>
  <si>
    <t>Met travel PGS 2506 PRG</t>
  </si>
  <si>
    <t>Met travel MET 2506 PRG</t>
  </si>
  <si>
    <t>Alina Mihai</t>
  </si>
  <si>
    <t>tel.: +40755747034</t>
  </si>
  <si>
    <t xml:space="preserve">950 Kč/os. Proforma + 300 Kč trf, 3x dítě </t>
  </si>
  <si>
    <t>potvrzeno 31/3</t>
  </si>
  <si>
    <t>26.6.62026</t>
  </si>
  <si>
    <t>Grand Hotel Prague Towers, Kongresová 1655/1, 140 69 Praha 4-Nusle</t>
  </si>
  <si>
    <t xml:space="preserve">1x narozeniny Constantin, proforma zaslána 1/4 </t>
  </si>
  <si>
    <t>Rumunsko</t>
  </si>
  <si>
    <t>zaplatí měsíc předem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</si>
</sst>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7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rgb="FFFFFF00"/>
        <bgColor rgb="FFFFFF00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1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10" fillId="8" borderId="22" xfId="0" applyFont="1" applyFill="1" applyBorder="1" applyAlignment="1">
      <alignment horizontal="center" wrapText="1"/>
    </xf>
    <xf numFmtId="0" fontId="3" fillId="8" borderId="9" xfId="1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wrapText="1" shrinkToFit="1"/>
    </xf>
    <xf numFmtId="0" fontId="3" fillId="20" borderId="21" xfId="1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6"/>
  <sheetViews>
    <sheetView windowProtection="1" tabSelected="1" zoomScaleNormal="100" workbookViewId="0">
      <pane ySplit="6" topLeftCell="A10" activePane="bottomLeft" state="frozen"/>
      <selection pane="bottomLeft" activeCell="N16" sqref="N16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13.8554687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4" t="s">
        <v>103</v>
      </c>
      <c r="C1" s="275"/>
      <c r="D1" s="69" t="s">
        <v>62</v>
      </c>
      <c r="E1" s="193"/>
      <c r="F1" s="194"/>
      <c r="G1" s="194"/>
      <c r="H1" s="297" t="s">
        <v>32</v>
      </c>
      <c r="I1" s="298"/>
      <c r="J1" s="265"/>
      <c r="K1" s="266"/>
      <c r="L1" s="267"/>
      <c r="M1" s="268" t="s">
        <v>60</v>
      </c>
      <c r="N1" s="264"/>
      <c r="O1" s="269"/>
      <c r="P1" s="270"/>
    </row>
    <row r="2" spans="1:17" ht="18" customHeight="1" thickBot="1" x14ac:dyDescent="0.3">
      <c r="A2" s="70"/>
      <c r="B2" s="70"/>
      <c r="C2" s="71"/>
      <c r="D2" s="81" t="s">
        <v>63</v>
      </c>
      <c r="E2" s="256"/>
      <c r="F2" s="257"/>
      <c r="G2" s="258"/>
      <c r="H2" s="70"/>
      <c r="I2" s="71"/>
      <c r="J2" s="71"/>
      <c r="K2" s="35"/>
      <c r="L2" s="35"/>
      <c r="M2" s="72" t="s">
        <v>59</v>
      </c>
      <c r="N2" s="73"/>
      <c r="O2" s="271"/>
      <c r="P2" s="267"/>
    </row>
    <row r="3" spans="1:17" ht="18" customHeight="1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263" t="s">
        <v>61</v>
      </c>
      <c r="N3" s="264"/>
      <c r="O3" s="261"/>
      <c r="P3" s="262"/>
    </row>
    <row r="4" spans="1:17" ht="15.75" thickBot="1" x14ac:dyDescent="0.3">
      <c r="A4" s="259" t="s">
        <v>64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</row>
    <row r="5" spans="1:17" ht="15.75" hidden="1" thickBot="1" x14ac:dyDescent="0.3">
      <c r="A5" s="259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s="1" customFormat="1" ht="26.25" x14ac:dyDescent="0.25">
      <c r="A9" s="105" t="s">
        <v>69</v>
      </c>
      <c r="B9" s="106" t="s">
        <v>70</v>
      </c>
      <c r="C9" s="107"/>
      <c r="D9" s="107">
        <v>30</v>
      </c>
      <c r="E9" s="107">
        <v>2</v>
      </c>
      <c r="F9" s="107"/>
      <c r="G9" s="107"/>
      <c r="H9" s="107"/>
      <c r="I9" s="107"/>
      <c r="J9" s="107" t="s">
        <v>71</v>
      </c>
      <c r="K9" s="128" t="s">
        <v>72</v>
      </c>
      <c r="L9" s="107" t="s">
        <v>73</v>
      </c>
      <c r="M9" s="106" t="s">
        <v>74</v>
      </c>
      <c r="N9" s="129" t="s">
        <v>70</v>
      </c>
      <c r="O9" s="129" t="s">
        <v>75</v>
      </c>
      <c r="P9" s="247" t="s">
        <v>76</v>
      </c>
      <c r="Q9" s="6"/>
    </row>
    <row r="10" spans="1:17" s="1" customFormat="1" ht="26.25" x14ac:dyDescent="0.25">
      <c r="A10" s="105" t="s">
        <v>77</v>
      </c>
      <c r="B10" s="106" t="s">
        <v>70</v>
      </c>
      <c r="C10" s="107"/>
      <c r="D10" s="107">
        <v>30</v>
      </c>
      <c r="E10" s="107">
        <v>2</v>
      </c>
      <c r="F10" s="107"/>
      <c r="G10" s="107"/>
      <c r="H10" s="107"/>
      <c r="I10" s="107"/>
      <c r="J10" s="107" t="s">
        <v>71</v>
      </c>
      <c r="K10" s="128" t="s">
        <v>72</v>
      </c>
      <c r="L10" s="107" t="s">
        <v>73</v>
      </c>
      <c r="M10" s="106" t="s">
        <v>74</v>
      </c>
      <c r="N10" s="129" t="s">
        <v>70</v>
      </c>
      <c r="O10" s="129" t="s">
        <v>75</v>
      </c>
      <c r="P10" s="247" t="s">
        <v>76</v>
      </c>
      <c r="Q10" s="6"/>
    </row>
    <row r="11" spans="1:17" ht="76.5" x14ac:dyDescent="0.25">
      <c r="A11" s="105" t="s">
        <v>86</v>
      </c>
      <c r="B11" s="101"/>
      <c r="C11" s="102"/>
      <c r="D11" s="102">
        <v>53</v>
      </c>
      <c r="E11" s="102">
        <v>2</v>
      </c>
      <c r="F11" s="102"/>
      <c r="G11" s="102"/>
      <c r="H11" s="102"/>
      <c r="I11" s="102"/>
      <c r="J11" s="107" t="s">
        <v>79</v>
      </c>
      <c r="K11" s="128" t="s">
        <v>72</v>
      </c>
      <c r="L11" s="102"/>
      <c r="M11" s="101" t="s">
        <v>87</v>
      </c>
      <c r="N11" s="103" t="s">
        <v>88</v>
      </c>
      <c r="O11" s="129" t="s">
        <v>89</v>
      </c>
      <c r="P11" s="247" t="s">
        <v>90</v>
      </c>
    </row>
    <row r="12" spans="1:17" ht="26.25" x14ac:dyDescent="0.25">
      <c r="A12" s="110" t="s">
        <v>91</v>
      </c>
      <c r="B12" s="101" t="s">
        <v>88</v>
      </c>
      <c r="C12" s="102"/>
      <c r="D12" s="102">
        <v>20</v>
      </c>
      <c r="E12" s="102">
        <v>2</v>
      </c>
      <c r="F12" s="102"/>
      <c r="G12" s="102"/>
      <c r="H12" s="102"/>
      <c r="I12" s="102"/>
      <c r="J12" s="102" t="s">
        <v>92</v>
      </c>
      <c r="K12" s="102" t="s">
        <v>93</v>
      </c>
      <c r="L12" s="102" t="s">
        <v>94</v>
      </c>
      <c r="M12" s="101" t="s">
        <v>95</v>
      </c>
      <c r="N12" s="103" t="s">
        <v>88</v>
      </c>
      <c r="O12" s="103"/>
      <c r="P12" s="104" t="s">
        <v>96</v>
      </c>
    </row>
    <row r="13" spans="1:17" ht="26.25" x14ac:dyDescent="0.25">
      <c r="A13" s="110" t="s">
        <v>97</v>
      </c>
      <c r="B13" s="101" t="s">
        <v>88</v>
      </c>
      <c r="C13" s="102"/>
      <c r="D13" s="102">
        <v>20</v>
      </c>
      <c r="E13" s="102">
        <v>2</v>
      </c>
      <c r="F13" s="102"/>
      <c r="G13" s="102"/>
      <c r="H13" s="102"/>
      <c r="I13" s="102"/>
      <c r="J13" s="102" t="s">
        <v>92</v>
      </c>
      <c r="K13" s="102" t="s">
        <v>93</v>
      </c>
      <c r="L13" s="102" t="s">
        <v>94</v>
      </c>
      <c r="M13" s="101" t="s">
        <v>95</v>
      </c>
      <c r="N13" s="103" t="s">
        <v>88</v>
      </c>
      <c r="O13" s="103"/>
      <c r="P13" s="104" t="s">
        <v>96</v>
      </c>
    </row>
    <row r="14" spans="1:17" ht="26.25" x14ac:dyDescent="0.25">
      <c r="A14" s="110" t="s">
        <v>98</v>
      </c>
      <c r="B14" s="101" t="s">
        <v>88</v>
      </c>
      <c r="C14" s="102"/>
      <c r="D14" s="102">
        <v>20</v>
      </c>
      <c r="E14" s="102">
        <v>2</v>
      </c>
      <c r="F14" s="102"/>
      <c r="G14" s="102"/>
      <c r="H14" s="102"/>
      <c r="I14" s="102"/>
      <c r="J14" s="102" t="s">
        <v>92</v>
      </c>
      <c r="K14" s="102" t="s">
        <v>93</v>
      </c>
      <c r="L14" s="102" t="s">
        <v>94</v>
      </c>
      <c r="M14" s="101" t="s">
        <v>95</v>
      </c>
      <c r="N14" s="103" t="s">
        <v>88</v>
      </c>
      <c r="O14" s="103"/>
      <c r="P14" s="104" t="s">
        <v>96</v>
      </c>
    </row>
    <row r="15" spans="1:17" ht="63.75" x14ac:dyDescent="0.25">
      <c r="A15" s="250" t="s">
        <v>99</v>
      </c>
      <c r="B15" s="101" t="s">
        <v>104</v>
      </c>
      <c r="C15" s="102" t="s">
        <v>100</v>
      </c>
      <c r="D15" s="102">
        <v>25</v>
      </c>
      <c r="E15" s="102"/>
      <c r="F15" s="102"/>
      <c r="G15" s="102"/>
      <c r="H15" s="102"/>
      <c r="I15" s="102"/>
      <c r="J15" s="107" t="s">
        <v>71</v>
      </c>
      <c r="K15" s="102" t="s">
        <v>93</v>
      </c>
      <c r="L15" s="107" t="s">
        <v>106</v>
      </c>
      <c r="M15" s="101" t="s">
        <v>101</v>
      </c>
      <c r="N15" s="103" t="s">
        <v>107</v>
      </c>
      <c r="O15" s="103" t="s">
        <v>105</v>
      </c>
      <c r="P15" s="104" t="s">
        <v>102</v>
      </c>
    </row>
    <row r="16" spans="1:17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04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x14ac:dyDescent="0.25">
      <c r="A20" s="111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1"/>
      <c r="N20" s="103"/>
      <c r="O20" s="103"/>
      <c r="P20" s="112"/>
    </row>
    <row r="21" spans="1:17" ht="15.75" thickBo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7"/>
      <c r="O21" s="137"/>
      <c r="P21" s="138"/>
      <c r="Q21" s="2"/>
    </row>
    <row r="22" spans="1:17" s="3" customFormat="1" ht="16.5" customHeight="1" thickBot="1" x14ac:dyDescent="0.3">
      <c r="A22" s="143"/>
      <c r="B22" s="132"/>
      <c r="C22" s="132"/>
      <c r="D22" s="132"/>
      <c r="E22" s="132"/>
      <c r="F22" s="132"/>
      <c r="G22" s="133" t="s">
        <v>15</v>
      </c>
      <c r="H22" s="132"/>
      <c r="I22" s="132"/>
      <c r="J22" s="132"/>
      <c r="K22" s="132"/>
      <c r="L22" s="132"/>
      <c r="M22" s="132"/>
      <c r="N22" s="132"/>
      <c r="O22" s="132"/>
      <c r="P22" s="134"/>
    </row>
    <row r="23" spans="1:17" ht="39" thickBot="1" x14ac:dyDescent="0.3">
      <c r="A23" s="248" t="s">
        <v>78</v>
      </c>
      <c r="B23" s="101" t="s">
        <v>79</v>
      </c>
      <c r="C23" s="101" t="s">
        <v>79</v>
      </c>
      <c r="D23" s="102">
        <v>20</v>
      </c>
      <c r="E23" s="102">
        <v>2</v>
      </c>
      <c r="F23" s="102"/>
      <c r="G23" s="117"/>
      <c r="H23" s="117"/>
      <c r="I23" s="118"/>
      <c r="J23" s="102" t="s">
        <v>80</v>
      </c>
      <c r="K23" s="102" t="s">
        <v>81</v>
      </c>
      <c r="L23" s="102" t="s">
        <v>82</v>
      </c>
      <c r="M23" s="102" t="s">
        <v>83</v>
      </c>
      <c r="N23" s="103">
        <v>0.79166666666666663</v>
      </c>
      <c r="O23" s="103" t="s">
        <v>84</v>
      </c>
      <c r="P23" s="249" t="s">
        <v>85</v>
      </c>
    </row>
    <row r="24" spans="1:17" ht="15.75" thickBot="1" x14ac:dyDescent="0.3">
      <c r="A24" s="143"/>
      <c r="B24" s="132"/>
      <c r="C24" s="132"/>
      <c r="D24" s="132"/>
      <c r="E24" s="132"/>
      <c r="F24" s="132"/>
      <c r="G24" s="133" t="s">
        <v>16</v>
      </c>
      <c r="H24" s="132"/>
      <c r="I24" s="132"/>
      <c r="J24" s="132"/>
      <c r="K24" s="132"/>
      <c r="L24" s="132"/>
      <c r="M24" s="132"/>
      <c r="N24" s="132"/>
      <c r="O24" s="132"/>
      <c r="P24" s="134"/>
    </row>
    <row r="25" spans="1:17" s="3" customFormat="1" x14ac:dyDescent="0.25">
      <c r="A25" s="139"/>
      <c r="B25" s="127"/>
      <c r="C25" s="140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30"/>
    </row>
    <row r="26" spans="1:17" ht="15.75" thickBot="1" x14ac:dyDescent="0.3">
      <c r="A26" s="152"/>
      <c r="B26" s="153"/>
      <c r="C26" s="154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6"/>
    </row>
    <row r="27" spans="1:17" ht="15.75" thickBot="1" x14ac:dyDescent="0.3">
      <c r="A27" s="143"/>
      <c r="B27" s="132"/>
      <c r="C27" s="132"/>
      <c r="D27" s="132"/>
      <c r="E27" s="132"/>
      <c r="F27" s="132"/>
      <c r="G27" s="133" t="s">
        <v>17</v>
      </c>
      <c r="H27" s="132"/>
      <c r="I27" s="132"/>
      <c r="J27" s="132"/>
      <c r="K27" s="132"/>
      <c r="L27" s="132"/>
      <c r="M27" s="132"/>
      <c r="N27" s="132"/>
      <c r="O27" s="132"/>
      <c r="P27" s="134"/>
    </row>
    <row r="28" spans="1:17" x14ac:dyDescent="0.25">
      <c r="A28" s="139"/>
      <c r="B28" s="127"/>
      <c r="C28" s="157"/>
      <c r="D28" s="158"/>
      <c r="E28" s="128"/>
      <c r="F28" s="128"/>
      <c r="G28" s="141"/>
      <c r="H28" s="141"/>
      <c r="I28" s="142"/>
      <c r="J28" s="128"/>
      <c r="K28" s="128"/>
      <c r="L28" s="158"/>
      <c r="M28" s="158"/>
      <c r="N28" s="158"/>
      <c r="O28" s="158"/>
      <c r="P28" s="159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ht="15.75" thickBot="1" x14ac:dyDescent="0.3">
      <c r="A33" s="152"/>
      <c r="B33" s="153"/>
      <c r="C33" s="160"/>
      <c r="D33" s="161"/>
      <c r="E33" s="155"/>
      <c r="F33" s="155"/>
      <c r="G33" s="162"/>
      <c r="H33" s="162"/>
      <c r="I33" s="163"/>
      <c r="J33" s="155"/>
      <c r="K33" s="155"/>
      <c r="L33" s="161"/>
      <c r="M33" s="161"/>
      <c r="N33" s="161"/>
      <c r="O33" s="161"/>
      <c r="P33" s="138"/>
    </row>
    <row r="34" spans="1:25" ht="15.75" thickBot="1" x14ac:dyDescent="0.3">
      <c r="A34" s="143"/>
      <c r="B34" s="132"/>
      <c r="C34" s="132"/>
      <c r="D34" s="132"/>
      <c r="E34" s="132"/>
      <c r="F34" s="132"/>
      <c r="G34" s="133" t="s">
        <v>18</v>
      </c>
      <c r="H34" s="132"/>
      <c r="I34" s="132"/>
      <c r="J34" s="132"/>
      <c r="K34" s="132"/>
      <c r="L34" s="132"/>
      <c r="M34" s="132"/>
      <c r="N34" s="132"/>
      <c r="O34" s="132"/>
      <c r="P34" s="134"/>
    </row>
    <row r="35" spans="1:25" s="3" customFormat="1" ht="15.75" thickBot="1" x14ac:dyDescent="0.3">
      <c r="A35" s="164"/>
      <c r="B35" s="165"/>
      <c r="C35" s="165"/>
      <c r="D35" s="165"/>
      <c r="E35" s="165"/>
      <c r="F35" s="166"/>
      <c r="G35" s="167"/>
      <c r="H35" s="167"/>
      <c r="I35" s="168"/>
      <c r="J35" s="165"/>
      <c r="K35" s="165"/>
      <c r="L35" s="165"/>
      <c r="M35" s="165"/>
      <c r="N35" s="165"/>
      <c r="O35" s="165"/>
      <c r="P35" s="169"/>
    </row>
    <row r="36" spans="1:25" ht="21.75" customHeight="1" thickBot="1" x14ac:dyDescent="0.3">
      <c r="A36" s="66"/>
      <c r="B36" s="66"/>
      <c r="C36" s="67"/>
      <c r="D36" s="174">
        <f>SUM(D9:D35)</f>
        <v>218</v>
      </c>
      <c r="E36" s="174">
        <f>SUM(E9:E35)</f>
        <v>14</v>
      </c>
      <c r="F36" s="175"/>
      <c r="G36" s="176">
        <f>SUM(G9:G35)</f>
        <v>0</v>
      </c>
      <c r="H36" s="172">
        <f>SUM(H9:H35)</f>
        <v>0</v>
      </c>
      <c r="I36" s="173">
        <f>SUM(I9:I35)</f>
        <v>0</v>
      </c>
      <c r="J36" s="63"/>
      <c r="K36" s="68"/>
      <c r="L36" s="68"/>
      <c r="M36" s="63"/>
      <c r="N36" s="63"/>
      <c r="O36" s="63"/>
      <c r="P36" s="35"/>
    </row>
    <row r="37" spans="1:25" ht="18.75" customHeight="1" thickBot="1" x14ac:dyDescent="0.3">
      <c r="A37" s="177" t="s">
        <v>47</v>
      </c>
      <c r="B37" s="178"/>
      <c r="C37" s="178"/>
      <c r="D37" s="179"/>
      <c r="E37" s="179"/>
      <c r="F37" s="180"/>
      <c r="G37" s="181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15.75" thickBot="1" x14ac:dyDescent="0.3">
      <c r="A38" s="75"/>
      <c r="B38" s="192" t="s">
        <v>42</v>
      </c>
      <c r="C38" s="281" t="s">
        <v>41</v>
      </c>
      <c r="D38" s="282"/>
      <c r="E38" s="286" t="s">
        <v>45</v>
      </c>
      <c r="F38" s="287"/>
      <c r="G38" s="288"/>
      <c r="H38" s="7"/>
      <c r="I38" s="8"/>
      <c r="J38" s="74"/>
      <c r="K38" s="74"/>
      <c r="L38" s="74"/>
      <c r="M38" s="74"/>
      <c r="N38" s="74"/>
      <c r="O38" s="74"/>
      <c r="P38" s="35"/>
    </row>
    <row r="39" spans="1:25" ht="96.75" customHeight="1" x14ac:dyDescent="0.25">
      <c r="A39" s="191" t="s">
        <v>35</v>
      </c>
      <c r="B39" s="12"/>
      <c r="C39" s="260"/>
      <c r="D39" s="260"/>
      <c r="E39" s="289">
        <v>0</v>
      </c>
      <c r="F39" s="290"/>
      <c r="G39" s="291"/>
      <c r="H39" s="61"/>
      <c r="I39" s="62"/>
      <c r="J39" s="35"/>
      <c r="K39" s="35"/>
      <c r="L39" s="35"/>
      <c r="M39" s="35"/>
      <c r="N39" s="35"/>
      <c r="O39" s="35"/>
      <c r="P39" s="35"/>
    </row>
    <row r="40" spans="1:25" s="3" customFormat="1" x14ac:dyDescent="0.25">
      <c r="A40" s="186" t="s">
        <v>31</v>
      </c>
      <c r="B40" s="9"/>
      <c r="C40" s="254"/>
      <c r="D40" s="254"/>
      <c r="E40" s="289">
        <v>0</v>
      </c>
      <c r="F40" s="290"/>
      <c r="G40" s="291"/>
      <c r="H40" s="61"/>
      <c r="I40" s="62"/>
      <c r="J40" s="62"/>
      <c r="K40" s="62"/>
      <c r="L40" s="62"/>
      <c r="M40" s="62"/>
      <c r="N40" s="62"/>
      <c r="O40" s="62"/>
      <c r="P40" s="62"/>
      <c r="R40" s="47"/>
      <c r="S40" s="47"/>
      <c r="T40" s="47"/>
      <c r="U40" s="47"/>
      <c r="V40" s="47"/>
      <c r="W40" s="47"/>
      <c r="X40" s="47"/>
      <c r="Y40" s="47"/>
    </row>
    <row r="41" spans="1:25" x14ac:dyDescent="0.25">
      <c r="A41" s="186" t="s">
        <v>36</v>
      </c>
      <c r="B41" s="10"/>
      <c r="C41" s="255"/>
      <c r="D41" s="255"/>
      <c r="E41" s="289">
        <v>0</v>
      </c>
      <c r="F41" s="290"/>
      <c r="G41" s="291"/>
      <c r="H41" s="61"/>
      <c r="I41" s="292"/>
      <c r="J41" s="292"/>
      <c r="K41" s="292"/>
      <c r="L41" s="292"/>
      <c r="M41" s="292"/>
      <c r="N41" s="292"/>
      <c r="O41" s="292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66" customHeight="1" x14ac:dyDescent="0.25">
      <c r="A42" s="186" t="s">
        <v>37</v>
      </c>
      <c r="B42" s="10"/>
      <c r="C42" s="254"/>
      <c r="D42" s="254"/>
      <c r="E42" s="289">
        <v>0</v>
      </c>
      <c r="F42" s="290"/>
      <c r="G42" s="291"/>
      <c r="H42" s="61"/>
      <c r="I42" s="293"/>
      <c r="J42" s="293"/>
      <c r="K42" s="293"/>
      <c r="L42" s="293"/>
      <c r="M42" s="293"/>
      <c r="N42" s="293"/>
      <c r="O42" s="293"/>
      <c r="P42" s="35"/>
      <c r="R42" s="48"/>
      <c r="S42" s="48"/>
      <c r="T42" s="48"/>
      <c r="U42" s="48"/>
      <c r="V42" s="48"/>
      <c r="W42" s="48"/>
      <c r="X42" s="48"/>
      <c r="Y42" s="48"/>
    </row>
    <row r="43" spans="1:25" ht="18" customHeight="1" x14ac:dyDescent="0.25">
      <c r="A43" s="186" t="s">
        <v>38</v>
      </c>
      <c r="B43" s="10"/>
      <c r="C43" s="278"/>
      <c r="D43" s="280"/>
      <c r="E43" s="294"/>
      <c r="F43" s="295"/>
      <c r="G43" s="296"/>
      <c r="H43" s="61"/>
      <c r="I43" s="293"/>
      <c r="J43" s="293"/>
      <c r="K43" s="293"/>
      <c r="L43" s="293"/>
      <c r="M43" s="293"/>
      <c r="N43" s="293"/>
      <c r="O43" s="293"/>
      <c r="P43" s="35"/>
      <c r="R43" s="273"/>
      <c r="S43" s="273"/>
      <c r="T43" s="273"/>
      <c r="U43" s="273"/>
      <c r="V43" s="273"/>
      <c r="W43" s="273"/>
      <c r="X43" s="273"/>
      <c r="Y43" s="273"/>
    </row>
    <row r="44" spans="1:25" ht="43.5" customHeight="1" x14ac:dyDescent="0.25">
      <c r="A44" s="186" t="s">
        <v>40</v>
      </c>
      <c r="B44" s="10"/>
      <c r="C44" s="278"/>
      <c r="D44" s="279"/>
      <c r="E44" s="294"/>
      <c r="F44" s="295"/>
      <c r="G44" s="296"/>
      <c r="H44" s="61"/>
      <c r="I44" s="293"/>
      <c r="J44" s="293"/>
      <c r="K44" s="293"/>
      <c r="L44" s="293"/>
      <c r="M44" s="293"/>
      <c r="N44" s="293"/>
      <c r="O44" s="293"/>
      <c r="P44" s="35"/>
      <c r="R44" s="49"/>
      <c r="S44" s="50"/>
      <c r="T44" s="50"/>
      <c r="U44" s="50"/>
      <c r="V44" s="50"/>
      <c r="W44" s="50"/>
      <c r="X44" s="50"/>
      <c r="Y44" s="50"/>
    </row>
    <row r="45" spans="1:25" s="3" customFormat="1" ht="45.75" customHeight="1" x14ac:dyDescent="0.25">
      <c r="A45" s="186" t="s">
        <v>39</v>
      </c>
      <c r="B45" s="10"/>
      <c r="C45" s="276"/>
      <c r="D45" s="277"/>
      <c r="E45" s="294"/>
      <c r="F45" s="295"/>
      <c r="G45" s="296"/>
      <c r="H45" s="61"/>
      <c r="I45" s="62"/>
      <c r="J45" s="62"/>
      <c r="K45" s="62"/>
      <c r="L45" s="62"/>
      <c r="M45" s="62"/>
      <c r="N45" s="62"/>
      <c r="O45" s="62"/>
      <c r="P45" s="62"/>
      <c r="R45" s="51"/>
      <c r="S45" s="52"/>
      <c r="T45" s="52"/>
      <c r="U45" s="53"/>
      <c r="V45" s="54"/>
      <c r="W45" s="55"/>
      <c r="X45" s="56"/>
      <c r="Y45" s="272"/>
    </row>
    <row r="46" spans="1:25" x14ac:dyDescent="0.25">
      <c r="A46" s="186" t="s">
        <v>43</v>
      </c>
      <c r="B46" s="10"/>
      <c r="C46" s="251"/>
      <c r="D46" s="251"/>
      <c r="E46" s="289">
        <f>M53</f>
        <v>0</v>
      </c>
      <c r="F46" s="290"/>
      <c r="G46" s="291"/>
      <c r="H46" s="61"/>
      <c r="I46" s="61"/>
      <c r="J46" s="35"/>
      <c r="K46" s="35"/>
      <c r="L46" s="35"/>
      <c r="M46" s="35"/>
      <c r="N46" s="35"/>
      <c r="O46" s="35"/>
      <c r="P46" s="35"/>
      <c r="R46" s="51"/>
      <c r="S46" s="49"/>
      <c r="T46" s="49"/>
      <c r="U46" s="57"/>
      <c r="V46" s="58"/>
      <c r="W46" s="59"/>
      <c r="X46" s="60"/>
      <c r="Y46" s="272"/>
    </row>
    <row r="47" spans="1:25" x14ac:dyDescent="0.25">
      <c r="A47" s="186" t="s">
        <v>19</v>
      </c>
      <c r="B47" s="10"/>
      <c r="C47" s="252"/>
      <c r="D47" s="252"/>
      <c r="E47" s="289">
        <f t="shared" ref="E47:E48" si="0">M54</f>
        <v>0</v>
      </c>
      <c r="F47" s="290"/>
      <c r="G47" s="291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52"/>
      <c r="T47" s="52"/>
      <c r="U47" s="53"/>
      <c r="V47" s="54"/>
      <c r="W47" s="55"/>
      <c r="X47" s="56"/>
      <c r="Y47" s="272"/>
    </row>
    <row r="48" spans="1:25" ht="15.75" thickBot="1" x14ac:dyDescent="0.3">
      <c r="A48" s="187" t="s">
        <v>44</v>
      </c>
      <c r="B48" s="11"/>
      <c r="C48" s="253"/>
      <c r="D48" s="253"/>
      <c r="E48" s="299">
        <f t="shared" si="0"/>
        <v>0</v>
      </c>
      <c r="F48" s="300"/>
      <c r="G48" s="301"/>
      <c r="H48" s="61"/>
      <c r="I48" s="61"/>
      <c r="J48" s="61"/>
      <c r="K48" s="61"/>
      <c r="L48" s="63"/>
      <c r="M48" s="63"/>
      <c r="N48" s="63"/>
      <c r="O48" s="63"/>
      <c r="P48" s="35"/>
      <c r="R48" s="51"/>
      <c r="S48" s="49"/>
      <c r="T48" s="49"/>
      <c r="U48" s="57"/>
      <c r="V48" s="58"/>
      <c r="W48" s="59"/>
      <c r="X48" s="60"/>
      <c r="Y48" s="272"/>
    </row>
    <row r="49" spans="1:27" ht="24" customHeight="1" thickBot="1" x14ac:dyDescent="0.3">
      <c r="A49" s="65"/>
      <c r="B49" s="65"/>
      <c r="C49" s="65"/>
      <c r="D49" s="206" t="s">
        <v>46</v>
      </c>
      <c r="E49" s="302">
        <f>SUM(E39:E48)</f>
        <v>0</v>
      </c>
      <c r="F49" s="303"/>
      <c r="G49" s="304"/>
      <c r="H49" s="64"/>
      <c r="I49" s="64"/>
      <c r="J49" s="61"/>
      <c r="K49" s="61"/>
      <c r="L49" s="63"/>
      <c r="M49" s="63"/>
      <c r="N49" s="63"/>
      <c r="O49" s="63"/>
      <c r="P49" s="35"/>
      <c r="Q49" s="15"/>
      <c r="R49" s="14"/>
      <c r="S49" s="13"/>
      <c r="V49" s="4"/>
      <c r="W49" s="4"/>
      <c r="X49" s="5"/>
      <c r="Y49" s="5"/>
    </row>
    <row r="50" spans="1:27" ht="15.75" thickBot="1" x14ac:dyDescent="0.3">
      <c r="A50" s="210" t="s">
        <v>48</v>
      </c>
      <c r="B50" s="211"/>
      <c r="C50" s="211"/>
      <c r="D50" s="212"/>
      <c r="E50" s="35"/>
      <c r="F50" s="35"/>
      <c r="G50" s="35"/>
      <c r="H50" s="35"/>
      <c r="I50" s="35"/>
      <c r="J50" s="64"/>
      <c r="K50" s="64"/>
      <c r="L50" s="34"/>
      <c r="M50" s="34"/>
      <c r="N50" s="34"/>
      <c r="O50" s="34"/>
      <c r="P50" s="35"/>
      <c r="Q50" s="15"/>
      <c r="R50" s="15"/>
      <c r="S50" s="15"/>
    </row>
    <row r="51" spans="1:27" ht="15.75" thickBot="1" x14ac:dyDescent="0.3">
      <c r="A51" s="43"/>
      <c r="B51" s="44" t="s">
        <v>7</v>
      </c>
      <c r="C51" s="45" t="s">
        <v>20</v>
      </c>
      <c r="D51" s="46" t="s">
        <v>6</v>
      </c>
      <c r="E51" s="17"/>
      <c r="F51" s="308" t="s">
        <v>57</v>
      </c>
      <c r="G51" s="309"/>
      <c r="H51" s="309"/>
      <c r="I51" s="309"/>
      <c r="J51" s="309"/>
      <c r="K51" s="309"/>
      <c r="L51" s="309"/>
      <c r="M51" s="310"/>
      <c r="N51" s="27"/>
      <c r="O51" s="27"/>
      <c r="P51" s="16"/>
      <c r="Q51" s="17"/>
      <c r="R51" s="17"/>
      <c r="S51" s="17"/>
      <c r="U51" s="15"/>
      <c r="V51" s="15"/>
      <c r="W51" s="15"/>
      <c r="X51" s="15"/>
      <c r="Y51" s="15"/>
      <c r="Z51" s="15"/>
      <c r="AA51" s="15"/>
    </row>
    <row r="52" spans="1:27" ht="26.25" thickBot="1" x14ac:dyDescent="0.3">
      <c r="A52" s="182" t="s">
        <v>50</v>
      </c>
      <c r="B52" s="195"/>
      <c r="C52" s="196"/>
      <c r="D52" s="197"/>
      <c r="E52" s="19"/>
      <c r="F52" s="38"/>
      <c r="G52" s="93" t="s">
        <v>22</v>
      </c>
      <c r="H52" s="94" t="s">
        <v>23</v>
      </c>
      <c r="I52" s="94" t="s">
        <v>24</v>
      </c>
      <c r="J52" s="94" t="s">
        <v>25</v>
      </c>
      <c r="K52" s="94" t="s">
        <v>26</v>
      </c>
      <c r="L52" s="94" t="s">
        <v>27</v>
      </c>
      <c r="M52" s="95" t="s">
        <v>28</v>
      </c>
      <c r="N52" s="17"/>
      <c r="O52" s="17"/>
      <c r="P52" s="18"/>
      <c r="Q52" s="19"/>
      <c r="R52" s="20"/>
      <c r="S52" s="19"/>
      <c r="U52" s="305"/>
      <c r="V52" s="305"/>
      <c r="W52" s="305"/>
      <c r="X52" s="305"/>
      <c r="Y52" s="305"/>
      <c r="Z52" s="305"/>
      <c r="AA52" s="305"/>
    </row>
    <row r="53" spans="1:27" x14ac:dyDescent="0.25">
      <c r="A53" s="183" t="s">
        <v>51</v>
      </c>
      <c r="B53" s="198">
        <f>H36</f>
        <v>0</v>
      </c>
      <c r="C53" s="199">
        <f>I36</f>
        <v>0</v>
      </c>
      <c r="D53" s="200">
        <f>G36</f>
        <v>0</v>
      </c>
      <c r="E53" s="19"/>
      <c r="F53" s="188" t="s">
        <v>29</v>
      </c>
      <c r="G53" s="40"/>
      <c r="H53" s="39"/>
      <c r="I53" s="96"/>
      <c r="J53" s="97"/>
      <c r="K53" s="98"/>
      <c r="L53" s="99"/>
      <c r="M53" s="311"/>
      <c r="N53" s="16"/>
      <c r="O53" s="16"/>
      <c r="P53" s="16"/>
      <c r="Q53" s="19"/>
      <c r="R53" s="20"/>
      <c r="S53" s="19"/>
      <c r="U53" s="306"/>
      <c r="V53" s="306"/>
      <c r="W53" s="306"/>
      <c r="X53" s="306"/>
      <c r="Y53" s="306"/>
      <c r="Z53" s="306"/>
      <c r="AA53" s="306"/>
    </row>
    <row r="54" spans="1:27" ht="15.75" customHeight="1" thickBot="1" x14ac:dyDescent="0.3">
      <c r="A54" s="184" t="s">
        <v>52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30</v>
      </c>
      <c r="G54" s="41"/>
      <c r="H54" s="37"/>
      <c r="I54" s="82"/>
      <c r="J54" s="83"/>
      <c r="K54" s="84"/>
      <c r="L54" s="100"/>
      <c r="M54" s="312"/>
      <c r="N54" s="26"/>
      <c r="O54" s="26"/>
      <c r="P54" s="26"/>
      <c r="Q54" s="19"/>
      <c r="R54" s="20"/>
      <c r="S54" s="19"/>
      <c r="U54" s="306"/>
      <c r="V54" s="306"/>
      <c r="W54" s="306"/>
      <c r="X54" s="306"/>
      <c r="Y54" s="306"/>
      <c r="Z54" s="306"/>
      <c r="AA54" s="306"/>
    </row>
    <row r="55" spans="1:27" ht="15" customHeight="1" x14ac:dyDescent="0.25">
      <c r="A55" s="184" t="s">
        <v>53</v>
      </c>
      <c r="B55" s="198">
        <f>I56</f>
        <v>0</v>
      </c>
      <c r="C55" s="201">
        <f>J56</f>
        <v>0</v>
      </c>
      <c r="D55" s="202">
        <f>L56</f>
        <v>0</v>
      </c>
      <c r="E55" s="19"/>
      <c r="F55" s="189" t="s">
        <v>21</v>
      </c>
      <c r="G55" s="41"/>
      <c r="H55" s="37"/>
      <c r="I55" s="85"/>
      <c r="J55" s="86"/>
      <c r="K55" s="87"/>
      <c r="L55" s="88"/>
      <c r="M55" s="313"/>
      <c r="N55" s="34"/>
      <c r="O55" s="307"/>
      <c r="P55" s="307"/>
      <c r="Q55" s="19"/>
      <c r="R55" s="20"/>
      <c r="S55" s="19"/>
      <c r="U55" s="306"/>
      <c r="V55" s="306"/>
      <c r="W55" s="306"/>
      <c r="X55" s="306"/>
      <c r="Y55" s="306"/>
      <c r="Z55" s="306"/>
      <c r="AA55" s="306"/>
    </row>
    <row r="56" spans="1:27" ht="15.75" thickBot="1" x14ac:dyDescent="0.3">
      <c r="A56" s="185" t="s">
        <v>43</v>
      </c>
      <c r="B56" s="203">
        <f>I53</f>
        <v>0</v>
      </c>
      <c r="C56" s="204">
        <f>J53</f>
        <v>0</v>
      </c>
      <c r="D56" s="205">
        <f>L53+L54</f>
        <v>0</v>
      </c>
      <c r="E56" s="21"/>
      <c r="F56" s="190" t="s">
        <v>58</v>
      </c>
      <c r="G56" s="42"/>
      <c r="H56" s="36"/>
      <c r="I56" s="89"/>
      <c r="J56" s="90"/>
      <c r="K56" s="91"/>
      <c r="L56" s="92"/>
      <c r="M56" s="313"/>
      <c r="N56" s="34"/>
      <c r="O56" s="307"/>
      <c r="P56" s="307"/>
      <c r="Q56" s="21"/>
      <c r="R56" s="20"/>
      <c r="S56" s="19"/>
    </row>
    <row r="57" spans="1:27" ht="15.75" thickBot="1" x14ac:dyDescent="0.3">
      <c r="A57" s="213" t="s">
        <v>56</v>
      </c>
      <c r="B57" s="207">
        <f>SUM(B52:B56)</f>
        <v>0</v>
      </c>
      <c r="C57" s="208">
        <f>SUM(C52:C56)</f>
        <v>0</v>
      </c>
      <c r="D57" s="209">
        <f>SUM(D52:D56)</f>
        <v>0</v>
      </c>
      <c r="E57" s="76"/>
      <c r="F57" s="28"/>
      <c r="G57" s="29"/>
      <c r="H57" s="29"/>
      <c r="I57" s="33"/>
      <c r="J57" s="30"/>
      <c r="K57" s="31"/>
      <c r="L57" s="32"/>
      <c r="M57" s="33"/>
      <c r="N57" s="34"/>
      <c r="O57" s="27"/>
      <c r="P57" s="27"/>
      <c r="Q57" s="22"/>
      <c r="R57" s="23"/>
      <c r="S57" s="22"/>
    </row>
    <row r="58" spans="1:27" ht="15.75" thickBot="1" x14ac:dyDescent="0.3">
      <c r="A58" s="219" t="s">
        <v>49</v>
      </c>
      <c r="B58" s="220"/>
      <c r="C58" s="221"/>
      <c r="D58" s="222"/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7" customHeight="1" thickBot="1" x14ac:dyDescent="0.3">
      <c r="A59" s="218" t="s">
        <v>54</v>
      </c>
      <c r="B59" s="216">
        <f>B57</f>
        <v>0</v>
      </c>
      <c r="C59" s="217">
        <f>C57</f>
        <v>0</v>
      </c>
      <c r="D59" s="216">
        <f>D57</f>
        <v>0</v>
      </c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18" t="s">
        <v>55</v>
      </c>
      <c r="B60" s="216">
        <f>E49</f>
        <v>0</v>
      </c>
      <c r="C60" s="214"/>
      <c r="D60" s="215"/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1.75" customHeight="1" thickBot="1" x14ac:dyDescent="0.3">
      <c r="A61" s="223" t="s">
        <v>49</v>
      </c>
      <c r="B61" s="224">
        <f>B59-B60</f>
        <v>0</v>
      </c>
      <c r="C61" s="225">
        <f>C57</f>
        <v>0</v>
      </c>
      <c r="D61" s="224">
        <f>D57</f>
        <v>0</v>
      </c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  <c r="P62" s="35"/>
      <c r="Q62" s="15"/>
      <c r="R62" s="15"/>
      <c r="S62" s="15"/>
    </row>
    <row r="63" spans="1:27" x14ac:dyDescent="0.25">
      <c r="E63" s="35"/>
      <c r="F63" s="35"/>
      <c r="G63" s="35"/>
      <c r="H63" s="35"/>
      <c r="I63" s="35"/>
      <c r="J63" s="35"/>
      <c r="K63" s="35"/>
      <c r="L63" s="79"/>
      <c r="M63" s="79"/>
      <c r="N63" s="79"/>
      <c r="O63" s="79"/>
    </row>
    <row r="66" ht="37.5" customHeight="1" x14ac:dyDescent="0.25"/>
  </sheetData>
  <mergeCells count="46">
    <mergeCell ref="E48:G48"/>
    <mergeCell ref="E49:G49"/>
    <mergeCell ref="E44:G44"/>
    <mergeCell ref="U52:AA52"/>
    <mergeCell ref="U53:AA55"/>
    <mergeCell ref="O55:O56"/>
    <mergeCell ref="P55:P56"/>
    <mergeCell ref="F51:M51"/>
    <mergeCell ref="M53:M54"/>
    <mergeCell ref="M55:M56"/>
    <mergeCell ref="E46:G46"/>
    <mergeCell ref="E47:G47"/>
    <mergeCell ref="B1:C1"/>
    <mergeCell ref="C45:D45"/>
    <mergeCell ref="C44:D44"/>
    <mergeCell ref="C43:D43"/>
    <mergeCell ref="C38:D38"/>
    <mergeCell ref="A3:L3"/>
    <mergeCell ref="E38:G38"/>
    <mergeCell ref="E39:G39"/>
    <mergeCell ref="E41:G41"/>
    <mergeCell ref="E40:G40"/>
    <mergeCell ref="I41:O41"/>
    <mergeCell ref="I42:O44"/>
    <mergeCell ref="E42:G42"/>
    <mergeCell ref="E43:G43"/>
    <mergeCell ref="E45:G45"/>
    <mergeCell ref="H1:I1"/>
    <mergeCell ref="J1:L1"/>
    <mergeCell ref="M1:N1"/>
    <mergeCell ref="O1:P1"/>
    <mergeCell ref="O2:P2"/>
    <mergeCell ref="Y47:Y48"/>
    <mergeCell ref="Y45:Y46"/>
    <mergeCell ref="R43:Y43"/>
    <mergeCell ref="E2:G2"/>
    <mergeCell ref="A4:P5"/>
    <mergeCell ref="C39:D39"/>
    <mergeCell ref="O3:P3"/>
    <mergeCell ref="M3:N3"/>
    <mergeCell ref="C46:D46"/>
    <mergeCell ref="C47:D47"/>
    <mergeCell ref="C48:D48"/>
    <mergeCell ref="C40:D40"/>
    <mergeCell ref="C41:D41"/>
    <mergeCell ref="C42:D42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7" t="s">
        <v>32</v>
      </c>
      <c r="I1" s="298"/>
      <c r="J1" s="265"/>
      <c r="K1" s="266"/>
      <c r="L1" s="267"/>
      <c r="M1" s="268" t="s">
        <v>60</v>
      </c>
      <c r="N1" s="264"/>
      <c r="O1" s="269"/>
      <c r="P1" s="270"/>
    </row>
    <row r="2" spans="1:16" ht="15.75" thickBot="1" x14ac:dyDescent="0.3">
      <c r="A2" s="70"/>
      <c r="B2" s="70"/>
      <c r="C2" s="71"/>
      <c r="D2" s="81" t="s">
        <v>63</v>
      </c>
      <c r="E2" s="256"/>
      <c r="F2" s="257"/>
      <c r="G2" s="258"/>
      <c r="H2" s="70"/>
      <c r="I2" s="71"/>
      <c r="J2" s="71"/>
      <c r="K2" s="35"/>
      <c r="L2" s="35"/>
      <c r="M2" s="72" t="s">
        <v>59</v>
      </c>
      <c r="N2" s="73"/>
      <c r="O2" s="271"/>
      <c r="P2" s="267"/>
    </row>
    <row r="3" spans="1:16" ht="15.75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263" t="s">
        <v>61</v>
      </c>
      <c r="N3" s="264"/>
      <c r="O3" s="261"/>
      <c r="P3" s="262"/>
    </row>
    <row r="4" spans="1:16" ht="15.75" thickBot="1" x14ac:dyDescent="0.3">
      <c r="A4" s="259" t="s">
        <v>34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</row>
    <row r="5" spans="1:16" ht="15.75" thickBot="1" x14ac:dyDescent="0.3">
      <c r="A5" s="259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1" t="s">
        <v>41</v>
      </c>
      <c r="D37" s="282"/>
      <c r="E37" s="286" t="s">
        <v>45</v>
      </c>
      <c r="F37" s="287"/>
      <c r="G37" s="288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0"/>
      <c r="D38" s="260"/>
      <c r="E38" s="289">
        <v>0</v>
      </c>
      <c r="F38" s="290"/>
      <c r="G38" s="291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4"/>
      <c r="D39" s="254"/>
      <c r="E39" s="289">
        <v>0</v>
      </c>
      <c r="F39" s="290"/>
      <c r="G39" s="291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5"/>
      <c r="D40" s="255"/>
      <c r="E40" s="289">
        <v>0</v>
      </c>
      <c r="F40" s="290"/>
      <c r="G40" s="291"/>
      <c r="H40" s="61"/>
      <c r="I40" s="292"/>
      <c r="J40" s="292"/>
      <c r="K40" s="292"/>
      <c r="L40" s="292"/>
      <c r="M40" s="292"/>
      <c r="N40" s="292"/>
      <c r="O40" s="292"/>
      <c r="P40" s="35"/>
    </row>
    <row r="41" spans="1:16" ht="25.5" x14ac:dyDescent="0.25">
      <c r="A41" s="186" t="s">
        <v>37</v>
      </c>
      <c r="B41" s="10"/>
      <c r="C41" s="254"/>
      <c r="D41" s="254"/>
      <c r="E41" s="289">
        <v>0</v>
      </c>
      <c r="F41" s="290"/>
      <c r="G41" s="291"/>
      <c r="H41" s="61"/>
      <c r="I41" s="293"/>
      <c r="J41" s="293"/>
      <c r="K41" s="293"/>
      <c r="L41" s="293"/>
      <c r="M41" s="293"/>
      <c r="N41" s="293"/>
      <c r="O41" s="293"/>
      <c r="P41" s="35"/>
    </row>
    <row r="42" spans="1:16" ht="25.5" x14ac:dyDescent="0.25">
      <c r="A42" s="186" t="s">
        <v>38</v>
      </c>
      <c r="B42" s="10"/>
      <c r="C42" s="278"/>
      <c r="D42" s="280"/>
      <c r="E42" s="294"/>
      <c r="F42" s="295"/>
      <c r="G42" s="296"/>
      <c r="H42" s="61"/>
      <c r="I42" s="293"/>
      <c r="J42" s="293"/>
      <c r="K42" s="293"/>
      <c r="L42" s="293"/>
      <c r="M42" s="293"/>
      <c r="N42" s="293"/>
      <c r="O42" s="293"/>
      <c r="P42" s="35"/>
    </row>
    <row r="43" spans="1:16" x14ac:dyDescent="0.25">
      <c r="A43" s="186" t="s">
        <v>40</v>
      </c>
      <c r="B43" s="10"/>
      <c r="C43" s="278"/>
      <c r="D43" s="279"/>
      <c r="E43" s="294"/>
      <c r="F43" s="295"/>
      <c r="G43" s="296"/>
      <c r="H43" s="61"/>
      <c r="I43" s="293"/>
      <c r="J43" s="293"/>
      <c r="K43" s="293"/>
      <c r="L43" s="293"/>
      <c r="M43" s="293"/>
      <c r="N43" s="293"/>
      <c r="O43" s="293"/>
      <c r="P43" s="35"/>
    </row>
    <row r="44" spans="1:16" x14ac:dyDescent="0.25">
      <c r="A44" s="186" t="s">
        <v>39</v>
      </c>
      <c r="B44" s="10"/>
      <c r="C44" s="276"/>
      <c r="D44" s="277"/>
      <c r="E44" s="294"/>
      <c r="F44" s="295"/>
      <c r="G44" s="296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1"/>
      <c r="D45" s="251"/>
      <c r="E45" s="289">
        <f>M52</f>
        <v>0</v>
      </c>
      <c r="F45" s="290"/>
      <c r="G45" s="291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2"/>
      <c r="D46" s="252"/>
      <c r="E46" s="289">
        <f t="shared" ref="E46:E47" si="0">M53</f>
        <v>0</v>
      </c>
      <c r="F46" s="290"/>
      <c r="G46" s="291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3"/>
      <c r="D47" s="253"/>
      <c r="E47" s="299">
        <f t="shared" si="0"/>
        <v>0</v>
      </c>
      <c r="F47" s="300"/>
      <c r="G47" s="301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2">
        <f>SUM(E38:E47)</f>
        <v>0</v>
      </c>
      <c r="F48" s="303"/>
      <c r="G48" s="304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8" t="s">
        <v>57</v>
      </c>
      <c r="G50" s="309"/>
      <c r="H50" s="309"/>
      <c r="I50" s="309"/>
      <c r="J50" s="309"/>
      <c r="K50" s="309"/>
      <c r="L50" s="309"/>
      <c r="M50" s="310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1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2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3"/>
      <c r="N54" s="34"/>
      <c r="O54" s="307"/>
      <c r="P54" s="307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3"/>
      <c r="N55" s="34"/>
      <c r="O55" s="307"/>
      <c r="P55" s="307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7" t="s">
        <v>32</v>
      </c>
      <c r="I1" s="298"/>
      <c r="J1" s="265"/>
      <c r="K1" s="266"/>
      <c r="L1" s="267"/>
      <c r="M1" s="268" t="s">
        <v>60</v>
      </c>
      <c r="N1" s="264"/>
      <c r="O1" s="269"/>
      <c r="P1" s="270"/>
    </row>
    <row r="2" spans="1:16" ht="15.75" thickBot="1" x14ac:dyDescent="0.3">
      <c r="A2" s="70"/>
      <c r="B2" s="70"/>
      <c r="C2" s="71"/>
      <c r="D2" s="81" t="s">
        <v>63</v>
      </c>
      <c r="E2" s="256"/>
      <c r="F2" s="257"/>
      <c r="G2" s="258"/>
      <c r="H2" s="70"/>
      <c r="I2" s="71"/>
      <c r="J2" s="71"/>
      <c r="K2" s="35"/>
      <c r="L2" s="35"/>
      <c r="M2" s="72" t="s">
        <v>59</v>
      </c>
      <c r="N2" s="73"/>
      <c r="O2" s="271"/>
      <c r="P2" s="267"/>
    </row>
    <row r="3" spans="1:16" ht="15.75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263" t="s">
        <v>61</v>
      </c>
      <c r="N3" s="264"/>
      <c r="O3" s="261"/>
      <c r="P3" s="262"/>
    </row>
    <row r="4" spans="1:16" ht="15.75" thickBot="1" x14ac:dyDescent="0.3">
      <c r="A4" s="259" t="s">
        <v>68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</row>
    <row r="5" spans="1:16" ht="15.75" thickBot="1" x14ac:dyDescent="0.3">
      <c r="A5" s="259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1" t="s">
        <v>41</v>
      </c>
      <c r="D37" s="282"/>
      <c r="E37" s="286" t="s">
        <v>45</v>
      </c>
      <c r="F37" s="287"/>
      <c r="G37" s="288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0"/>
      <c r="D38" s="260"/>
      <c r="E38" s="289">
        <v>0</v>
      </c>
      <c r="F38" s="290"/>
      <c r="G38" s="291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4"/>
      <c r="D39" s="254"/>
      <c r="E39" s="289">
        <v>0</v>
      </c>
      <c r="F39" s="290"/>
      <c r="G39" s="291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5"/>
      <c r="D40" s="255"/>
      <c r="E40" s="289">
        <v>0</v>
      </c>
      <c r="F40" s="290"/>
      <c r="G40" s="291"/>
      <c r="H40" s="61"/>
      <c r="I40" s="292"/>
      <c r="J40" s="292"/>
      <c r="K40" s="292"/>
      <c r="L40" s="292"/>
      <c r="M40" s="292"/>
      <c r="N40" s="292"/>
      <c r="O40" s="292"/>
      <c r="P40" s="35"/>
    </row>
    <row r="41" spans="1:16" ht="25.5" x14ac:dyDescent="0.25">
      <c r="A41" s="186" t="s">
        <v>37</v>
      </c>
      <c r="B41" s="10"/>
      <c r="C41" s="254"/>
      <c r="D41" s="254"/>
      <c r="E41" s="289">
        <v>0</v>
      </c>
      <c r="F41" s="290"/>
      <c r="G41" s="291"/>
      <c r="H41" s="61"/>
      <c r="I41" s="293"/>
      <c r="J41" s="293"/>
      <c r="K41" s="293"/>
      <c r="L41" s="293"/>
      <c r="M41" s="293"/>
      <c r="N41" s="293"/>
      <c r="O41" s="293"/>
      <c r="P41" s="35"/>
    </row>
    <row r="42" spans="1:16" ht="25.5" x14ac:dyDescent="0.25">
      <c r="A42" s="186" t="s">
        <v>38</v>
      </c>
      <c r="B42" s="10"/>
      <c r="C42" s="278"/>
      <c r="D42" s="280"/>
      <c r="E42" s="294"/>
      <c r="F42" s="295"/>
      <c r="G42" s="296"/>
      <c r="H42" s="61"/>
      <c r="I42" s="293"/>
      <c r="J42" s="293"/>
      <c r="K42" s="293"/>
      <c r="L42" s="293"/>
      <c r="M42" s="293"/>
      <c r="N42" s="293"/>
      <c r="O42" s="293"/>
      <c r="P42" s="35"/>
    </row>
    <row r="43" spans="1:16" x14ac:dyDescent="0.25">
      <c r="A43" s="186" t="s">
        <v>40</v>
      </c>
      <c r="B43" s="10"/>
      <c r="C43" s="278"/>
      <c r="D43" s="279"/>
      <c r="E43" s="294"/>
      <c r="F43" s="295"/>
      <c r="G43" s="296"/>
      <c r="H43" s="61"/>
      <c r="I43" s="293"/>
      <c r="J43" s="293"/>
      <c r="K43" s="293"/>
      <c r="L43" s="293"/>
      <c r="M43" s="293"/>
      <c r="N43" s="293"/>
      <c r="O43" s="293"/>
      <c r="P43" s="35"/>
    </row>
    <row r="44" spans="1:16" x14ac:dyDescent="0.25">
      <c r="A44" s="186" t="s">
        <v>39</v>
      </c>
      <c r="B44" s="10"/>
      <c r="C44" s="276"/>
      <c r="D44" s="277"/>
      <c r="E44" s="294"/>
      <c r="F44" s="295"/>
      <c r="G44" s="296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1"/>
      <c r="D45" s="251"/>
      <c r="E45" s="289">
        <f>M52</f>
        <v>0</v>
      </c>
      <c r="F45" s="290"/>
      <c r="G45" s="291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2"/>
      <c r="D46" s="252"/>
      <c r="E46" s="289">
        <f t="shared" ref="E46:E47" si="0">M53</f>
        <v>0</v>
      </c>
      <c r="F46" s="290"/>
      <c r="G46" s="291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3"/>
      <c r="D47" s="253"/>
      <c r="E47" s="299">
        <f t="shared" si="0"/>
        <v>0</v>
      </c>
      <c r="F47" s="300"/>
      <c r="G47" s="301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2">
        <f>SUM(E38:E47)</f>
        <v>0</v>
      </c>
      <c r="F48" s="303"/>
      <c r="G48" s="304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8" t="s">
        <v>57</v>
      </c>
      <c r="G50" s="309"/>
      <c r="H50" s="309"/>
      <c r="I50" s="309"/>
      <c r="J50" s="309"/>
      <c r="K50" s="309"/>
      <c r="L50" s="309"/>
      <c r="M50" s="310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1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2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3"/>
      <c r="N54" s="34"/>
      <c r="O54" s="307"/>
      <c r="P54" s="307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3"/>
      <c r="N55" s="34"/>
      <c r="O55" s="307"/>
      <c r="P55" s="307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7" t="s">
        <v>32</v>
      </c>
      <c r="I1" s="298"/>
      <c r="J1" s="265"/>
      <c r="K1" s="266"/>
      <c r="L1" s="267"/>
      <c r="M1" s="268" t="s">
        <v>60</v>
      </c>
      <c r="N1" s="264"/>
      <c r="O1" s="269"/>
      <c r="P1" s="270"/>
    </row>
    <row r="2" spans="1:16" ht="15.75" thickBot="1" x14ac:dyDescent="0.3">
      <c r="A2" s="70"/>
      <c r="B2" s="70"/>
      <c r="C2" s="71"/>
      <c r="D2" s="81" t="s">
        <v>63</v>
      </c>
      <c r="E2" s="256"/>
      <c r="F2" s="257"/>
      <c r="G2" s="258"/>
      <c r="H2" s="70"/>
      <c r="I2" s="71"/>
      <c r="J2" s="71"/>
      <c r="K2" s="35"/>
      <c r="L2" s="35"/>
      <c r="M2" s="72" t="s">
        <v>59</v>
      </c>
      <c r="N2" s="73"/>
      <c r="O2" s="271"/>
      <c r="P2" s="267"/>
    </row>
    <row r="3" spans="1:16" ht="15.75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263" t="s">
        <v>61</v>
      </c>
      <c r="N3" s="264"/>
      <c r="O3" s="261"/>
      <c r="P3" s="262"/>
    </row>
    <row r="4" spans="1:16" ht="15.75" thickBot="1" x14ac:dyDescent="0.3">
      <c r="A4" s="259" t="s">
        <v>67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</row>
    <row r="5" spans="1:16" ht="15.75" thickBot="1" x14ac:dyDescent="0.3">
      <c r="A5" s="259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1" t="s">
        <v>41</v>
      </c>
      <c r="D37" s="282"/>
      <c r="E37" s="286" t="s">
        <v>45</v>
      </c>
      <c r="F37" s="287"/>
      <c r="G37" s="288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0"/>
      <c r="D38" s="260"/>
      <c r="E38" s="289">
        <v>0</v>
      </c>
      <c r="F38" s="290"/>
      <c r="G38" s="291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4"/>
      <c r="D39" s="254"/>
      <c r="E39" s="289">
        <v>0</v>
      </c>
      <c r="F39" s="290"/>
      <c r="G39" s="291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5"/>
      <c r="D40" s="255"/>
      <c r="E40" s="289">
        <v>0</v>
      </c>
      <c r="F40" s="290"/>
      <c r="G40" s="291"/>
      <c r="H40" s="61"/>
      <c r="I40" s="292"/>
      <c r="J40" s="292"/>
      <c r="K40" s="292"/>
      <c r="L40" s="292"/>
      <c r="M40" s="292"/>
      <c r="N40" s="292"/>
      <c r="O40" s="292"/>
      <c r="P40" s="35"/>
    </row>
    <row r="41" spans="1:16" ht="25.5" x14ac:dyDescent="0.25">
      <c r="A41" s="186" t="s">
        <v>37</v>
      </c>
      <c r="B41" s="10"/>
      <c r="C41" s="254"/>
      <c r="D41" s="254"/>
      <c r="E41" s="289">
        <v>0</v>
      </c>
      <c r="F41" s="290"/>
      <c r="G41" s="291"/>
      <c r="H41" s="61"/>
      <c r="I41" s="293"/>
      <c r="J41" s="293"/>
      <c r="K41" s="293"/>
      <c r="L41" s="293"/>
      <c r="M41" s="293"/>
      <c r="N41" s="293"/>
      <c r="O41" s="293"/>
      <c r="P41" s="35"/>
    </row>
    <row r="42" spans="1:16" ht="25.5" x14ac:dyDescent="0.25">
      <c r="A42" s="186" t="s">
        <v>38</v>
      </c>
      <c r="B42" s="10"/>
      <c r="C42" s="278"/>
      <c r="D42" s="280"/>
      <c r="E42" s="294"/>
      <c r="F42" s="295"/>
      <c r="G42" s="296"/>
      <c r="H42" s="61"/>
      <c r="I42" s="293"/>
      <c r="J42" s="293"/>
      <c r="K42" s="293"/>
      <c r="L42" s="293"/>
      <c r="M42" s="293"/>
      <c r="N42" s="293"/>
      <c r="O42" s="293"/>
      <c r="P42" s="35"/>
    </row>
    <row r="43" spans="1:16" x14ac:dyDescent="0.25">
      <c r="A43" s="186" t="s">
        <v>40</v>
      </c>
      <c r="B43" s="10"/>
      <c r="C43" s="278"/>
      <c r="D43" s="279"/>
      <c r="E43" s="294"/>
      <c r="F43" s="295"/>
      <c r="G43" s="296"/>
      <c r="H43" s="61"/>
      <c r="I43" s="293"/>
      <c r="J43" s="293"/>
      <c r="K43" s="293"/>
      <c r="L43" s="293"/>
      <c r="M43" s="293"/>
      <c r="N43" s="293"/>
      <c r="O43" s="293"/>
      <c r="P43" s="35"/>
    </row>
    <row r="44" spans="1:16" x14ac:dyDescent="0.25">
      <c r="A44" s="186" t="s">
        <v>39</v>
      </c>
      <c r="B44" s="10"/>
      <c r="C44" s="276"/>
      <c r="D44" s="277"/>
      <c r="E44" s="294"/>
      <c r="F44" s="295"/>
      <c r="G44" s="296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1"/>
      <c r="D45" s="251"/>
      <c r="E45" s="289">
        <f>M52</f>
        <v>0</v>
      </c>
      <c r="F45" s="290"/>
      <c r="G45" s="291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2"/>
      <c r="D46" s="252"/>
      <c r="E46" s="289">
        <f t="shared" ref="E46:E47" si="0">M53</f>
        <v>0</v>
      </c>
      <c r="F46" s="290"/>
      <c r="G46" s="291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3"/>
      <c r="D47" s="253"/>
      <c r="E47" s="299">
        <f t="shared" si="0"/>
        <v>0</v>
      </c>
      <c r="F47" s="300"/>
      <c r="G47" s="301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2">
        <f>SUM(E38:E47)</f>
        <v>0</v>
      </c>
      <c r="F48" s="303"/>
      <c r="G48" s="304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8" t="s">
        <v>57</v>
      </c>
      <c r="G50" s="309"/>
      <c r="H50" s="309"/>
      <c r="I50" s="309"/>
      <c r="J50" s="309"/>
      <c r="K50" s="309"/>
      <c r="L50" s="309"/>
      <c r="M50" s="310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1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2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3"/>
      <c r="N54" s="34"/>
      <c r="O54" s="307"/>
      <c r="P54" s="307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3"/>
      <c r="N55" s="34"/>
      <c r="O55" s="307"/>
      <c r="P55" s="307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4"/>
      <c r="C1" s="315"/>
      <c r="D1" s="226" t="s">
        <v>62</v>
      </c>
      <c r="E1" s="227"/>
      <c r="F1" s="228"/>
      <c r="G1" s="229"/>
      <c r="H1" s="316"/>
      <c r="I1" s="317"/>
      <c r="J1" s="317"/>
      <c r="K1" s="318"/>
      <c r="L1" s="318"/>
      <c r="M1" s="319"/>
      <c r="N1" s="318"/>
      <c r="O1" s="320"/>
      <c r="P1" s="320"/>
    </row>
    <row r="2" spans="1:16" ht="15.75" thickBot="1" x14ac:dyDescent="0.3">
      <c r="A2" s="259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</row>
    <row r="3" spans="1:16" ht="15.75" hidden="1" thickBot="1" x14ac:dyDescent="0.3">
      <c r="A3" s="259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2026-04-01T14:38:08Z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