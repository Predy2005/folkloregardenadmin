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DEECF751-BF83-422F-9602-F2526C753935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D56" i="3" l="1"/>
  <c r="D58" i="3" s="1"/>
  <c r="B56" i="4"/>
  <c r="B58" i="4" s="1"/>
  <c r="C56" i="5"/>
  <c r="C58" i="5" s="1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3" l="1"/>
  <c r="C60" i="3"/>
  <c r="D60" i="4"/>
  <c r="C59" i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l="1"/>
  <c r="E49" i="1"/>
  <c r="B60" i="1" s="1"/>
  <c r="B61" i="1" s="1"/>
  <c r="D61" i="1"/>
  <c r="D59" i="1"/>
</calcChain>
</file>

<file path=xl/sharedStrings.xml><?xml version="1.0" encoding="utf-8"?>
<sst xmlns="http://schemas.openxmlformats.org/spreadsheetml/2006/main" count="356" uniqueCount="112">
  <si>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</si>
  <si>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</si>
  <si>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</si>
  <si>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</si>
  <si>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</si>
  <si>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</si>
  <si>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</si>
  <si>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</si>
  <si>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</si>
  <si>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</si>
  <si>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</si>
  <si>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</si>
  <si>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</si>
  <si>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</si>
  <si>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</si>
  <si>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</si>
  <si>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</si>
  <si>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</si>
  <si>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</si>
  <si>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</si>
  <si>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</si>
  <si>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</si>
  <si>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</si>
  <si>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</si>
  <si>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</si>
  <si>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</si>
  <si>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</si>
  <si>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</si>
  <si>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</si>
  <si>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</si>
  <si>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</si>
  <si>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</si>
  <si>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</si>
  <si>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</si>
  <si>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</si>
  <si>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</si>
  <si>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</si>
  <si>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</si>
  <si>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</si>
  <si>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</si>
  <si>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</si>
  <si>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</si>
  <si>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</si>
  <si>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</si>
  <si>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</si>
  <si>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</si>
  <si>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</si>
  <si>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</si>
  <si>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</si>
  <si>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</si>
  <si>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</si>
  <si>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</si>
  <si>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</si>
  <si>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</si>
  <si>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</si>
  <si>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</si>
  <si>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</si>
  <si>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</si>
  <si>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</si>
  <si>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</si>
  <si>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</si>
  <si>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</si>
  <si>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</si>
  <si>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</si>
  <si>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</si>
  <si>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</si>
  <si>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</si>
  <si>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</si>
  <si>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</si>
  <si>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tradiční</t>
  </si>
  <si>
    <t>neomezene</t>
  </si>
  <si>
    <t>Dánsko</t>
  </si>
  <si>
    <t>825 Kč/os., fa</t>
  </si>
  <si>
    <t>rezervace dne 14/6/2025</t>
  </si>
  <si>
    <t>Riis Rejser, sk. PRA1061426</t>
  </si>
  <si>
    <t>IWI TOUR, SK. 1</t>
  </si>
  <si>
    <t>X</t>
  </si>
  <si>
    <t>bez pití</t>
  </si>
  <si>
    <t>Německo</t>
  </si>
  <si>
    <t>26 eur/os., fa</t>
  </si>
  <si>
    <t>invalidní branka</t>
  </si>
  <si>
    <t>rezervace dne 17/10</t>
  </si>
  <si>
    <t>IWI TOUR, SK. 2</t>
  </si>
  <si>
    <t>PNB TRAVEL</t>
  </si>
  <si>
    <t xml:space="preserve">Amir </t>
  </si>
  <si>
    <t>upřesnit</t>
  </si>
  <si>
    <t>Izrael</t>
  </si>
  <si>
    <t>x</t>
  </si>
  <si>
    <t>vystavit zálohovku</t>
  </si>
  <si>
    <t>rezervace dne 27/2, Kam</t>
  </si>
  <si>
    <t>privátka Stodola</t>
  </si>
  <si>
    <t>1200 Kč/os. + příplatky, proforma, cena platná pro 160 platících (900 kč v případě veřejné show)</t>
  </si>
  <si>
    <t>Fun in Prague</t>
  </si>
  <si>
    <t>Prague Hotel marriott, V Celnici</t>
  </si>
  <si>
    <t>Arun Trikha</t>
  </si>
  <si>
    <t>1x halal</t>
  </si>
  <si>
    <t>fa</t>
  </si>
  <si>
    <t>18:30-19:00</t>
  </si>
  <si>
    <t>rezervace dne 20/3 Kam</t>
  </si>
  <si>
    <t xml:space="preserve">Codan </t>
  </si>
  <si>
    <t>tradice</t>
  </si>
  <si>
    <t>neomezeně</t>
  </si>
  <si>
    <t>optional prodej, upřesní vždy den předem</t>
  </si>
  <si>
    <t>rezervace dne 13/3</t>
  </si>
  <si>
    <t>Kuoni, sk. TYO260004627</t>
  </si>
  <si>
    <t>790 Kč/os., fa</t>
  </si>
  <si>
    <t>kuře</t>
  </si>
  <si>
    <t>Japonsko</t>
  </si>
  <si>
    <t>rezervace dne 7/4 Kam</t>
  </si>
  <si>
    <t>900 Kč/os. Fa</t>
  </si>
  <si>
    <t>rezervace 8/4 T</t>
  </si>
  <si>
    <t xml:space="preserve">Andel 3 W. sk. Egid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</si>
</sst>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i/>
      <sz val="10"/>
      <color rgb="FFFF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19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17" fillId="8" borderId="9" xfId="1" applyFont="1" applyFill="1" applyBorder="1" applyAlignment="1">
      <alignment horizontal="center"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11" activePane="bottomLeft" state="frozen"/>
      <selection pane="bottomLeft" activeCell="I15" sqref="I15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0"/>
      <c r="C1" s="271"/>
      <c r="D1" s="69" t="s">
        <v>62</v>
      </c>
      <c r="E1" s="193"/>
      <c r="F1" s="194"/>
      <c r="G1" s="194"/>
      <c r="H1" s="287" t="s">
        <v>32</v>
      </c>
      <c r="I1" s="288"/>
      <c r="J1" s="289"/>
      <c r="K1" s="290"/>
      <c r="L1" s="291"/>
      <c r="M1" s="292" t="s">
        <v>60</v>
      </c>
      <c r="N1" s="293"/>
      <c r="O1" s="294"/>
      <c r="P1" s="295"/>
    </row>
    <row r="2" spans="1:17" ht="18" customHeight="1" thickBot="1" x14ac:dyDescent="0.3">
      <c r="A2" s="70"/>
      <c r="B2" s="70"/>
      <c r="C2" s="71"/>
      <c r="D2" s="81" t="s">
        <v>63</v>
      </c>
      <c r="E2" s="299"/>
      <c r="F2" s="300"/>
      <c r="G2" s="301"/>
      <c r="H2" s="70"/>
      <c r="I2" s="71"/>
      <c r="J2" s="71"/>
      <c r="K2" s="35"/>
      <c r="L2" s="35"/>
      <c r="M2" s="72" t="s">
        <v>59</v>
      </c>
      <c r="N2" s="73"/>
      <c r="O2" s="296"/>
      <c r="P2" s="291"/>
    </row>
    <row r="3" spans="1:17" ht="18" customHeight="1" thickBot="1" x14ac:dyDescent="0.3">
      <c r="A3" s="279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1"/>
      <c r="M3" s="306" t="s">
        <v>61</v>
      </c>
      <c r="N3" s="293"/>
      <c r="O3" s="304"/>
      <c r="P3" s="305"/>
    </row>
    <row r="4" spans="1:17" ht="15.75" thickBot="1" x14ac:dyDescent="0.3">
      <c r="A4" s="302" t="s">
        <v>64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</row>
    <row r="5" spans="1:17" ht="15.75" hidden="1" thickBot="1" x14ac:dyDescent="0.3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26.25" x14ac:dyDescent="0.25">
      <c r="A9" s="105" t="s">
        <v>75</v>
      </c>
      <c r="B9" s="106" t="s">
        <v>76</v>
      </c>
      <c r="C9" s="107"/>
      <c r="D9" s="107">
        <v>30</v>
      </c>
      <c r="E9" s="107">
        <v>2</v>
      </c>
      <c r="F9" s="107"/>
      <c r="G9" s="107"/>
      <c r="H9" s="107"/>
      <c r="I9" s="107"/>
      <c r="J9" s="107" t="s">
        <v>69</v>
      </c>
      <c r="K9" s="128" t="s">
        <v>77</v>
      </c>
      <c r="L9" s="107" t="s">
        <v>78</v>
      </c>
      <c r="M9" s="106" t="s">
        <v>79</v>
      </c>
      <c r="N9" s="129" t="s">
        <v>76</v>
      </c>
      <c r="O9" s="129" t="s">
        <v>80</v>
      </c>
      <c r="P9" s="247" t="s">
        <v>81</v>
      </c>
      <c r="Q9" s="6"/>
    </row>
    <row r="10" spans="1:17" s="1" customFormat="1" ht="26.25" x14ac:dyDescent="0.25">
      <c r="A10" s="105" t="s">
        <v>82</v>
      </c>
      <c r="B10" s="106" t="s">
        <v>76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69</v>
      </c>
      <c r="K10" s="128" t="s">
        <v>77</v>
      </c>
      <c r="L10" s="107" t="s">
        <v>78</v>
      </c>
      <c r="M10" s="106" t="s">
        <v>79</v>
      </c>
      <c r="N10" s="129" t="s">
        <v>76</v>
      </c>
      <c r="O10" s="129" t="s">
        <v>80</v>
      </c>
      <c r="P10" s="247" t="s">
        <v>81</v>
      </c>
      <c r="Q10" s="6"/>
    </row>
    <row r="11" spans="1:17" ht="26.25" x14ac:dyDescent="0.25">
      <c r="A11" s="105" t="s">
        <v>74</v>
      </c>
      <c r="B11" s="106"/>
      <c r="C11" s="107"/>
      <c r="D11" s="107">
        <v>54</v>
      </c>
      <c r="E11" s="107">
        <v>2</v>
      </c>
      <c r="F11" s="107"/>
      <c r="G11" s="107"/>
      <c r="H11" s="107"/>
      <c r="I11" s="107"/>
      <c r="J11" s="107" t="s">
        <v>69</v>
      </c>
      <c r="K11" s="107" t="s">
        <v>70</v>
      </c>
      <c r="L11" s="107" t="s">
        <v>71</v>
      </c>
      <c r="M11" s="106" t="s">
        <v>72</v>
      </c>
      <c r="N11" s="108"/>
      <c r="O11" s="108"/>
      <c r="P11" s="109" t="s">
        <v>73</v>
      </c>
    </row>
    <row r="12" spans="1:17" ht="153" x14ac:dyDescent="0.25">
      <c r="A12" s="110" t="s">
        <v>83</v>
      </c>
      <c r="B12" s="248" t="s">
        <v>90</v>
      </c>
      <c r="C12" s="102" t="s">
        <v>84</v>
      </c>
      <c r="D12" s="102">
        <v>180</v>
      </c>
      <c r="E12" s="102"/>
      <c r="F12" s="102"/>
      <c r="G12" s="102"/>
      <c r="H12" s="102"/>
      <c r="I12" s="102"/>
      <c r="J12" s="102" t="s">
        <v>85</v>
      </c>
      <c r="K12" s="107" t="s">
        <v>70</v>
      </c>
      <c r="L12" s="102" t="s">
        <v>86</v>
      </c>
      <c r="M12" s="101" t="s">
        <v>91</v>
      </c>
      <c r="N12" s="103" t="s">
        <v>87</v>
      </c>
      <c r="O12" s="103" t="s">
        <v>88</v>
      </c>
      <c r="P12" s="104" t="s">
        <v>89</v>
      </c>
    </row>
    <row r="13" spans="1:17" ht="26.25" x14ac:dyDescent="0.25">
      <c r="A13" s="110" t="s">
        <v>92</v>
      </c>
      <c r="B13" s="101" t="s">
        <v>93</v>
      </c>
      <c r="C13" s="102" t="s">
        <v>94</v>
      </c>
      <c r="D13" s="102">
        <v>1</v>
      </c>
      <c r="E13" s="102"/>
      <c r="F13" s="102"/>
      <c r="G13" s="102"/>
      <c r="H13" s="102"/>
      <c r="I13" s="102"/>
      <c r="J13" s="102" t="s">
        <v>95</v>
      </c>
      <c r="K13" s="107" t="s">
        <v>70</v>
      </c>
      <c r="L13" s="102"/>
      <c r="M13" s="101" t="s">
        <v>96</v>
      </c>
      <c r="N13" s="103" t="s">
        <v>97</v>
      </c>
      <c r="O13" s="103"/>
      <c r="P13" s="104" t="s">
        <v>98</v>
      </c>
    </row>
    <row r="14" spans="1:17" ht="63.75" x14ac:dyDescent="0.25">
      <c r="A14" s="111" t="s">
        <v>99</v>
      </c>
      <c r="B14" s="101" t="s">
        <v>87</v>
      </c>
      <c r="C14" s="102"/>
      <c r="D14" s="102">
        <v>15</v>
      </c>
      <c r="E14" s="102"/>
      <c r="F14" s="102"/>
      <c r="G14" s="102"/>
      <c r="H14" s="102"/>
      <c r="I14" s="102"/>
      <c r="J14" s="102" t="s">
        <v>100</v>
      </c>
      <c r="K14" s="102" t="s">
        <v>101</v>
      </c>
      <c r="L14" s="102" t="s">
        <v>71</v>
      </c>
      <c r="M14" s="101" t="s">
        <v>96</v>
      </c>
      <c r="N14" s="103" t="s">
        <v>87</v>
      </c>
      <c r="O14" s="103" t="s">
        <v>102</v>
      </c>
      <c r="P14" s="104" t="s">
        <v>103</v>
      </c>
    </row>
    <row r="15" spans="1:17" ht="26.25" x14ac:dyDescent="0.25">
      <c r="A15" s="111" t="s">
        <v>104</v>
      </c>
      <c r="B15" s="101" t="s">
        <v>87</v>
      </c>
      <c r="C15" s="102"/>
      <c r="D15" s="102">
        <v>28</v>
      </c>
      <c r="E15" s="102">
        <v>2</v>
      </c>
      <c r="F15" s="102"/>
      <c r="G15" s="102"/>
      <c r="H15" s="102"/>
      <c r="I15" s="102"/>
      <c r="J15" s="102" t="s">
        <v>106</v>
      </c>
      <c r="K15" s="102" t="s">
        <v>77</v>
      </c>
      <c r="L15" s="102" t="s">
        <v>107</v>
      </c>
      <c r="M15" s="101" t="s">
        <v>105</v>
      </c>
      <c r="N15" s="103" t="s">
        <v>87</v>
      </c>
      <c r="O15" s="103"/>
      <c r="P15" s="104" t="s">
        <v>108</v>
      </c>
    </row>
    <row r="16" spans="1:17" ht="25.5" x14ac:dyDescent="0.25">
      <c r="A16" s="105" t="s">
        <v>111</v>
      </c>
      <c r="B16" s="101" t="s">
        <v>87</v>
      </c>
      <c r="C16" s="102"/>
      <c r="D16" s="102">
        <v>47</v>
      </c>
      <c r="E16" s="102">
        <v>2</v>
      </c>
      <c r="F16" s="102"/>
      <c r="G16" s="102"/>
      <c r="H16" s="102"/>
      <c r="I16" s="102"/>
      <c r="J16" s="107" t="s">
        <v>85</v>
      </c>
      <c r="K16" s="128" t="s">
        <v>101</v>
      </c>
      <c r="L16" s="102"/>
      <c r="M16" s="101" t="s">
        <v>109</v>
      </c>
      <c r="N16" s="103" t="s">
        <v>87</v>
      </c>
      <c r="O16" s="129"/>
      <c r="P16" s="104" t="s">
        <v>110</v>
      </c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ht="15.75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/>
      <c r="O21" s="137"/>
      <c r="P21" s="138"/>
      <c r="Q21" s="2"/>
    </row>
    <row r="22" spans="1:17" s="3" customFormat="1" ht="16.5" customHeight="1" thickBot="1" x14ac:dyDescent="0.3">
      <c r="A22" s="143"/>
      <c r="B22" s="132"/>
      <c r="C22" s="132"/>
      <c r="D22" s="132"/>
      <c r="E22" s="132"/>
      <c r="F22" s="132"/>
      <c r="G22" s="133" t="s">
        <v>15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7" ht="15.75" thickBot="1" x14ac:dyDescent="0.3">
      <c r="A23" s="144"/>
      <c r="B23" s="145"/>
      <c r="C23" s="146"/>
      <c r="D23" s="147"/>
      <c r="E23" s="147"/>
      <c r="F23" s="147"/>
      <c r="G23" s="148"/>
      <c r="H23" s="148"/>
      <c r="I23" s="149"/>
      <c r="J23" s="147"/>
      <c r="K23" s="147"/>
      <c r="L23" s="147"/>
      <c r="M23" s="147"/>
      <c r="N23" s="150"/>
      <c r="O23" s="150"/>
      <c r="P23" s="151"/>
    </row>
    <row r="24" spans="1:17" ht="15.75" thickBot="1" x14ac:dyDescent="0.3">
      <c r="A24" s="143"/>
      <c r="B24" s="132"/>
      <c r="C24" s="132"/>
      <c r="D24" s="132"/>
      <c r="E24" s="132"/>
      <c r="F24" s="132"/>
      <c r="G24" s="133" t="s">
        <v>16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s="3" customFormat="1" x14ac:dyDescent="0.25">
      <c r="A25" s="139"/>
      <c r="B25" s="127"/>
      <c r="C25" s="140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30"/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SUM(D9:D35)</f>
        <v>385</v>
      </c>
      <c r="E36" s="174">
        <f>SUM(E9:E35)</f>
        <v>10</v>
      </c>
      <c r="F36" s="175"/>
      <c r="G36" s="176">
        <f>SUM(G9:G35)</f>
        <v>0</v>
      </c>
      <c r="H36" s="172">
        <f>SUM(H9:H35)</f>
        <v>0</v>
      </c>
      <c r="I36" s="173">
        <f>SUM(I9:I35)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77" t="s">
        <v>41</v>
      </c>
      <c r="D38" s="278"/>
      <c r="E38" s="282" t="s">
        <v>45</v>
      </c>
      <c r="F38" s="283"/>
      <c r="G38" s="284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303"/>
      <c r="D39" s="303"/>
      <c r="E39" s="267">
        <v>0</v>
      </c>
      <c r="F39" s="268"/>
      <c r="G39" s="269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310"/>
      <c r="D40" s="310"/>
      <c r="E40" s="267">
        <v>0</v>
      </c>
      <c r="F40" s="268"/>
      <c r="G40" s="269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311"/>
      <c r="D41" s="311"/>
      <c r="E41" s="267">
        <v>0</v>
      </c>
      <c r="F41" s="268"/>
      <c r="G41" s="269"/>
      <c r="H41" s="61"/>
      <c r="I41" s="285"/>
      <c r="J41" s="285"/>
      <c r="K41" s="285"/>
      <c r="L41" s="285"/>
      <c r="M41" s="285"/>
      <c r="N41" s="285"/>
      <c r="O41" s="285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310"/>
      <c r="D42" s="310"/>
      <c r="E42" s="267">
        <v>0</v>
      </c>
      <c r="F42" s="268"/>
      <c r="G42" s="269"/>
      <c r="H42" s="61"/>
      <c r="I42" s="286"/>
      <c r="J42" s="286"/>
      <c r="K42" s="286"/>
      <c r="L42" s="286"/>
      <c r="M42" s="286"/>
      <c r="N42" s="286"/>
      <c r="O42" s="286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74"/>
      <c r="D43" s="276"/>
      <c r="E43" s="255"/>
      <c r="F43" s="256"/>
      <c r="G43" s="257"/>
      <c r="H43" s="61"/>
      <c r="I43" s="286"/>
      <c r="J43" s="286"/>
      <c r="K43" s="286"/>
      <c r="L43" s="286"/>
      <c r="M43" s="286"/>
      <c r="N43" s="286"/>
      <c r="O43" s="286"/>
      <c r="P43" s="35"/>
      <c r="R43" s="298"/>
      <c r="S43" s="298"/>
      <c r="T43" s="298"/>
      <c r="U43" s="298"/>
      <c r="V43" s="298"/>
      <c r="W43" s="298"/>
      <c r="X43" s="298"/>
      <c r="Y43" s="298"/>
    </row>
    <row r="44" spans="1:25" ht="43.5" customHeight="1" x14ac:dyDescent="0.25">
      <c r="A44" s="186" t="s">
        <v>40</v>
      </c>
      <c r="B44" s="10"/>
      <c r="C44" s="274"/>
      <c r="D44" s="275"/>
      <c r="E44" s="255"/>
      <c r="F44" s="256"/>
      <c r="G44" s="257"/>
      <c r="H44" s="61"/>
      <c r="I44" s="286"/>
      <c r="J44" s="286"/>
      <c r="K44" s="286"/>
      <c r="L44" s="286"/>
      <c r="M44" s="286"/>
      <c r="N44" s="286"/>
      <c r="O44" s="286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72"/>
      <c r="D45" s="273"/>
      <c r="E45" s="255"/>
      <c r="F45" s="256"/>
      <c r="G45" s="257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297"/>
    </row>
    <row r="46" spans="1:25" x14ac:dyDescent="0.25">
      <c r="A46" s="186" t="s">
        <v>43</v>
      </c>
      <c r="B46" s="10"/>
      <c r="C46" s="307"/>
      <c r="D46" s="307"/>
      <c r="E46" s="267">
        <f>M53</f>
        <v>0</v>
      </c>
      <c r="F46" s="268"/>
      <c r="G46" s="269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297"/>
    </row>
    <row r="47" spans="1:25" x14ac:dyDescent="0.25">
      <c r="A47" s="186" t="s">
        <v>19</v>
      </c>
      <c r="B47" s="10"/>
      <c r="C47" s="308"/>
      <c r="D47" s="308"/>
      <c r="E47" s="267">
        <f t="shared" ref="E47:E48" si="0">M54</f>
        <v>0</v>
      </c>
      <c r="F47" s="268"/>
      <c r="G47" s="269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297"/>
    </row>
    <row r="48" spans="1:25" ht="15.75" thickBot="1" x14ac:dyDescent="0.3">
      <c r="A48" s="187" t="s">
        <v>44</v>
      </c>
      <c r="B48" s="11"/>
      <c r="C48" s="309"/>
      <c r="D48" s="309"/>
      <c r="E48" s="249">
        <f t="shared" si="0"/>
        <v>0</v>
      </c>
      <c r="F48" s="250"/>
      <c r="G48" s="251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297"/>
    </row>
    <row r="49" spans="1:27" ht="24" customHeight="1" thickBot="1" x14ac:dyDescent="0.3">
      <c r="A49" s="65"/>
      <c r="B49" s="65"/>
      <c r="C49" s="65"/>
      <c r="D49" s="206" t="s">
        <v>46</v>
      </c>
      <c r="E49" s="252">
        <f>SUM(E39:E48)</f>
        <v>0</v>
      </c>
      <c r="F49" s="253"/>
      <c r="G49" s="254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261" t="s">
        <v>57</v>
      </c>
      <c r="G51" s="262"/>
      <c r="H51" s="262"/>
      <c r="I51" s="262"/>
      <c r="J51" s="262"/>
      <c r="K51" s="262"/>
      <c r="L51" s="262"/>
      <c r="M51" s="263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258"/>
      <c r="V52" s="258"/>
      <c r="W52" s="258"/>
      <c r="X52" s="258"/>
      <c r="Y52" s="258"/>
      <c r="Z52" s="258"/>
      <c r="AA52" s="258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264"/>
      <c r="N53" s="16"/>
      <c r="O53" s="16"/>
      <c r="P53" s="16"/>
      <c r="Q53" s="19"/>
      <c r="R53" s="20"/>
      <c r="S53" s="19"/>
      <c r="U53" s="259"/>
      <c r="V53" s="259"/>
      <c r="W53" s="259"/>
      <c r="X53" s="259"/>
      <c r="Y53" s="259"/>
      <c r="Z53" s="259"/>
      <c r="AA53" s="259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265"/>
      <c r="N54" s="26"/>
      <c r="O54" s="26"/>
      <c r="P54" s="26"/>
      <c r="Q54" s="19"/>
      <c r="R54" s="20"/>
      <c r="S54" s="19"/>
      <c r="U54" s="259"/>
      <c r="V54" s="259"/>
      <c r="W54" s="259"/>
      <c r="X54" s="259"/>
      <c r="Y54" s="259"/>
      <c r="Z54" s="259"/>
      <c r="AA54" s="259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266"/>
      <c r="N55" s="34"/>
      <c r="O55" s="260"/>
      <c r="P55" s="260"/>
      <c r="Q55" s="19"/>
      <c r="R55" s="20"/>
      <c r="S55" s="19"/>
      <c r="U55" s="259"/>
      <c r="V55" s="259"/>
      <c r="W55" s="259"/>
      <c r="X55" s="259"/>
      <c r="Y55" s="259"/>
      <c r="Z55" s="259"/>
      <c r="AA55" s="259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266"/>
      <c r="N56" s="34"/>
      <c r="O56" s="260"/>
      <c r="P56" s="260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C46:D46"/>
    <mergeCell ref="C47:D47"/>
    <mergeCell ref="C48:D48"/>
    <mergeCell ref="C40:D40"/>
    <mergeCell ref="C41:D41"/>
    <mergeCell ref="C42:D42"/>
    <mergeCell ref="E2:G2"/>
    <mergeCell ref="A4:P5"/>
    <mergeCell ref="C39:D39"/>
    <mergeCell ref="O3:P3"/>
    <mergeCell ref="M3:N3"/>
    <mergeCell ref="J1:L1"/>
    <mergeCell ref="M1:N1"/>
    <mergeCell ref="O1:P1"/>
    <mergeCell ref="O2:P2"/>
    <mergeCell ref="Y47:Y48"/>
    <mergeCell ref="Y45:Y46"/>
    <mergeCell ref="R43:Y43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0"/>
      <c r="C1" s="271"/>
      <c r="D1" s="69" t="s">
        <v>62</v>
      </c>
      <c r="E1" s="193"/>
      <c r="F1" s="194"/>
      <c r="G1" s="194"/>
      <c r="H1" s="287" t="s">
        <v>32</v>
      </c>
      <c r="I1" s="288"/>
      <c r="J1" s="289"/>
      <c r="K1" s="290"/>
      <c r="L1" s="291"/>
      <c r="M1" s="292" t="s">
        <v>60</v>
      </c>
      <c r="N1" s="293"/>
      <c r="O1" s="294"/>
      <c r="P1" s="295"/>
    </row>
    <row r="2" spans="1:16" ht="15.75" thickBot="1" x14ac:dyDescent="0.3">
      <c r="A2" s="70"/>
      <c r="B2" s="70"/>
      <c r="C2" s="71"/>
      <c r="D2" s="81" t="s">
        <v>63</v>
      </c>
      <c r="E2" s="299"/>
      <c r="F2" s="300"/>
      <c r="G2" s="301"/>
      <c r="H2" s="70"/>
      <c r="I2" s="71"/>
      <c r="J2" s="71"/>
      <c r="K2" s="35"/>
      <c r="L2" s="35"/>
      <c r="M2" s="72" t="s">
        <v>59</v>
      </c>
      <c r="N2" s="73"/>
      <c r="O2" s="296"/>
      <c r="P2" s="291"/>
    </row>
    <row r="3" spans="1:16" ht="15.75" thickBot="1" x14ac:dyDescent="0.3">
      <c r="A3" s="279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1"/>
      <c r="M3" s="306" t="s">
        <v>61</v>
      </c>
      <c r="N3" s="293"/>
      <c r="O3" s="304"/>
      <c r="P3" s="305"/>
    </row>
    <row r="4" spans="1:16" ht="15.75" thickBot="1" x14ac:dyDescent="0.3">
      <c r="A4" s="302" t="s">
        <v>34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.75" thickBot="1" x14ac:dyDescent="0.3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77" t="s">
        <v>41</v>
      </c>
      <c r="D37" s="278"/>
      <c r="E37" s="282" t="s">
        <v>45</v>
      </c>
      <c r="F37" s="283"/>
      <c r="G37" s="28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3"/>
      <c r="D38" s="303"/>
      <c r="E38" s="267">
        <v>0</v>
      </c>
      <c r="F38" s="268"/>
      <c r="G38" s="26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0"/>
      <c r="D39" s="310"/>
      <c r="E39" s="267">
        <v>0</v>
      </c>
      <c r="F39" s="268"/>
      <c r="G39" s="26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1"/>
      <c r="D40" s="311"/>
      <c r="E40" s="267">
        <v>0</v>
      </c>
      <c r="F40" s="268"/>
      <c r="G40" s="269"/>
      <c r="H40" s="61"/>
      <c r="I40" s="285"/>
      <c r="J40" s="285"/>
      <c r="K40" s="285"/>
      <c r="L40" s="285"/>
      <c r="M40" s="285"/>
      <c r="N40" s="285"/>
      <c r="O40" s="285"/>
      <c r="P40" s="35"/>
    </row>
    <row r="41" spans="1:16" ht="25.5" x14ac:dyDescent="0.25">
      <c r="A41" s="186" t="s">
        <v>37</v>
      </c>
      <c r="B41" s="10"/>
      <c r="C41" s="310"/>
      <c r="D41" s="310"/>
      <c r="E41" s="267">
        <v>0</v>
      </c>
      <c r="F41" s="268"/>
      <c r="G41" s="269"/>
      <c r="H41" s="61"/>
      <c r="I41" s="286"/>
      <c r="J41" s="286"/>
      <c r="K41" s="286"/>
      <c r="L41" s="286"/>
      <c r="M41" s="286"/>
      <c r="N41" s="286"/>
      <c r="O41" s="286"/>
      <c r="P41" s="35"/>
    </row>
    <row r="42" spans="1:16" ht="25.5" x14ac:dyDescent="0.25">
      <c r="A42" s="186" t="s">
        <v>38</v>
      </c>
      <c r="B42" s="10"/>
      <c r="C42" s="274"/>
      <c r="D42" s="276"/>
      <c r="E42" s="255"/>
      <c r="F42" s="256"/>
      <c r="G42" s="257"/>
      <c r="H42" s="61"/>
      <c r="I42" s="286"/>
      <c r="J42" s="286"/>
      <c r="K42" s="286"/>
      <c r="L42" s="286"/>
      <c r="M42" s="286"/>
      <c r="N42" s="286"/>
      <c r="O42" s="286"/>
      <c r="P42" s="35"/>
    </row>
    <row r="43" spans="1:16" x14ac:dyDescent="0.25">
      <c r="A43" s="186" t="s">
        <v>40</v>
      </c>
      <c r="B43" s="10"/>
      <c r="C43" s="274"/>
      <c r="D43" s="275"/>
      <c r="E43" s="255"/>
      <c r="F43" s="256"/>
      <c r="G43" s="257"/>
      <c r="H43" s="61"/>
      <c r="I43" s="286"/>
      <c r="J43" s="286"/>
      <c r="K43" s="286"/>
      <c r="L43" s="286"/>
      <c r="M43" s="286"/>
      <c r="N43" s="286"/>
      <c r="O43" s="286"/>
      <c r="P43" s="35"/>
    </row>
    <row r="44" spans="1:16" x14ac:dyDescent="0.25">
      <c r="A44" s="186" t="s">
        <v>39</v>
      </c>
      <c r="B44" s="10"/>
      <c r="C44" s="272"/>
      <c r="D44" s="273"/>
      <c r="E44" s="255"/>
      <c r="F44" s="256"/>
      <c r="G44" s="25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07"/>
      <c r="D45" s="307"/>
      <c r="E45" s="267">
        <f>M52</f>
        <v>0</v>
      </c>
      <c r="F45" s="268"/>
      <c r="G45" s="26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08"/>
      <c r="D46" s="308"/>
      <c r="E46" s="267">
        <f t="shared" ref="E46:E47" si="0">M53</f>
        <v>0</v>
      </c>
      <c r="F46" s="268"/>
      <c r="G46" s="26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09"/>
      <c r="D47" s="309"/>
      <c r="E47" s="249">
        <f t="shared" si="0"/>
        <v>0</v>
      </c>
      <c r="F47" s="250"/>
      <c r="G47" s="25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2">
        <f>SUM(E38:E47)</f>
        <v>0</v>
      </c>
      <c r="F48" s="253"/>
      <c r="G48" s="25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1" t="s">
        <v>57</v>
      </c>
      <c r="G50" s="262"/>
      <c r="H50" s="262"/>
      <c r="I50" s="262"/>
      <c r="J50" s="262"/>
      <c r="K50" s="262"/>
      <c r="L50" s="262"/>
      <c r="M50" s="263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4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5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6"/>
      <c r="N54" s="34"/>
      <c r="O54" s="260"/>
      <c r="P54" s="260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6"/>
      <c r="N55" s="34"/>
      <c r="O55" s="260"/>
      <c r="P55" s="260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0"/>
      <c r="C1" s="271"/>
      <c r="D1" s="69" t="s">
        <v>62</v>
      </c>
      <c r="E1" s="193"/>
      <c r="F1" s="194"/>
      <c r="G1" s="194"/>
      <c r="H1" s="287" t="s">
        <v>32</v>
      </c>
      <c r="I1" s="288"/>
      <c r="J1" s="289"/>
      <c r="K1" s="290"/>
      <c r="L1" s="291"/>
      <c r="M1" s="292" t="s">
        <v>60</v>
      </c>
      <c r="N1" s="293"/>
      <c r="O1" s="294"/>
      <c r="P1" s="295"/>
    </row>
    <row r="2" spans="1:16" ht="15.75" thickBot="1" x14ac:dyDescent="0.3">
      <c r="A2" s="70"/>
      <c r="B2" s="70"/>
      <c r="C2" s="71"/>
      <c r="D2" s="81" t="s">
        <v>63</v>
      </c>
      <c r="E2" s="299"/>
      <c r="F2" s="300"/>
      <c r="G2" s="301"/>
      <c r="H2" s="70"/>
      <c r="I2" s="71"/>
      <c r="J2" s="71"/>
      <c r="K2" s="35"/>
      <c r="L2" s="35"/>
      <c r="M2" s="72" t="s">
        <v>59</v>
      </c>
      <c r="N2" s="73"/>
      <c r="O2" s="296"/>
      <c r="P2" s="291"/>
    </row>
    <row r="3" spans="1:16" ht="15.75" thickBot="1" x14ac:dyDescent="0.3">
      <c r="A3" s="279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1"/>
      <c r="M3" s="306" t="s">
        <v>61</v>
      </c>
      <c r="N3" s="293"/>
      <c r="O3" s="304"/>
      <c r="P3" s="305"/>
    </row>
    <row r="4" spans="1:16" ht="15.75" thickBot="1" x14ac:dyDescent="0.3">
      <c r="A4" s="302" t="s">
        <v>68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.75" thickBot="1" x14ac:dyDescent="0.3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77" t="s">
        <v>41</v>
      </c>
      <c r="D37" s="278"/>
      <c r="E37" s="282" t="s">
        <v>45</v>
      </c>
      <c r="F37" s="283"/>
      <c r="G37" s="28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3"/>
      <c r="D38" s="303"/>
      <c r="E38" s="267">
        <v>0</v>
      </c>
      <c r="F38" s="268"/>
      <c r="G38" s="26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0"/>
      <c r="D39" s="310"/>
      <c r="E39" s="267">
        <v>0</v>
      </c>
      <c r="F39" s="268"/>
      <c r="G39" s="26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1"/>
      <c r="D40" s="311"/>
      <c r="E40" s="267">
        <v>0</v>
      </c>
      <c r="F40" s="268"/>
      <c r="G40" s="269"/>
      <c r="H40" s="61"/>
      <c r="I40" s="285"/>
      <c r="J40" s="285"/>
      <c r="K40" s="285"/>
      <c r="L40" s="285"/>
      <c r="M40" s="285"/>
      <c r="N40" s="285"/>
      <c r="O40" s="285"/>
      <c r="P40" s="35"/>
    </row>
    <row r="41" spans="1:16" ht="25.5" x14ac:dyDescent="0.25">
      <c r="A41" s="186" t="s">
        <v>37</v>
      </c>
      <c r="B41" s="10"/>
      <c r="C41" s="310"/>
      <c r="D41" s="310"/>
      <c r="E41" s="267">
        <v>0</v>
      </c>
      <c r="F41" s="268"/>
      <c r="G41" s="269"/>
      <c r="H41" s="61"/>
      <c r="I41" s="286"/>
      <c r="J41" s="286"/>
      <c r="K41" s="286"/>
      <c r="L41" s="286"/>
      <c r="M41" s="286"/>
      <c r="N41" s="286"/>
      <c r="O41" s="286"/>
      <c r="P41" s="35"/>
    </row>
    <row r="42" spans="1:16" ht="25.5" x14ac:dyDescent="0.25">
      <c r="A42" s="186" t="s">
        <v>38</v>
      </c>
      <c r="B42" s="10"/>
      <c r="C42" s="274"/>
      <c r="D42" s="276"/>
      <c r="E42" s="255"/>
      <c r="F42" s="256"/>
      <c r="G42" s="257"/>
      <c r="H42" s="61"/>
      <c r="I42" s="286"/>
      <c r="J42" s="286"/>
      <c r="K42" s="286"/>
      <c r="L42" s="286"/>
      <c r="M42" s="286"/>
      <c r="N42" s="286"/>
      <c r="O42" s="286"/>
      <c r="P42" s="35"/>
    </row>
    <row r="43" spans="1:16" x14ac:dyDescent="0.25">
      <c r="A43" s="186" t="s">
        <v>40</v>
      </c>
      <c r="B43" s="10"/>
      <c r="C43" s="274"/>
      <c r="D43" s="275"/>
      <c r="E43" s="255"/>
      <c r="F43" s="256"/>
      <c r="G43" s="257"/>
      <c r="H43" s="61"/>
      <c r="I43" s="286"/>
      <c r="J43" s="286"/>
      <c r="K43" s="286"/>
      <c r="L43" s="286"/>
      <c r="M43" s="286"/>
      <c r="N43" s="286"/>
      <c r="O43" s="286"/>
      <c r="P43" s="35"/>
    </row>
    <row r="44" spans="1:16" x14ac:dyDescent="0.25">
      <c r="A44" s="186" t="s">
        <v>39</v>
      </c>
      <c r="B44" s="10"/>
      <c r="C44" s="272"/>
      <c r="D44" s="273"/>
      <c r="E44" s="255"/>
      <c r="F44" s="256"/>
      <c r="G44" s="25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07"/>
      <c r="D45" s="307"/>
      <c r="E45" s="267">
        <f>M52</f>
        <v>0</v>
      </c>
      <c r="F45" s="268"/>
      <c r="G45" s="26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08"/>
      <c r="D46" s="308"/>
      <c r="E46" s="267">
        <f t="shared" ref="E46:E47" si="0">M53</f>
        <v>0</v>
      </c>
      <c r="F46" s="268"/>
      <c r="G46" s="26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09"/>
      <c r="D47" s="309"/>
      <c r="E47" s="249">
        <f t="shared" si="0"/>
        <v>0</v>
      </c>
      <c r="F47" s="250"/>
      <c r="G47" s="25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2">
        <f>SUM(E38:E47)</f>
        <v>0</v>
      </c>
      <c r="F48" s="253"/>
      <c r="G48" s="25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1" t="s">
        <v>57</v>
      </c>
      <c r="G50" s="262"/>
      <c r="H50" s="262"/>
      <c r="I50" s="262"/>
      <c r="J50" s="262"/>
      <c r="K50" s="262"/>
      <c r="L50" s="262"/>
      <c r="M50" s="263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4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5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6"/>
      <c r="N54" s="34"/>
      <c r="O54" s="260"/>
      <c r="P54" s="260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6"/>
      <c r="N55" s="34"/>
      <c r="O55" s="260"/>
      <c r="P55" s="260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0"/>
      <c r="C1" s="271"/>
      <c r="D1" s="69" t="s">
        <v>62</v>
      </c>
      <c r="E1" s="193"/>
      <c r="F1" s="194"/>
      <c r="G1" s="194"/>
      <c r="H1" s="287" t="s">
        <v>32</v>
      </c>
      <c r="I1" s="288"/>
      <c r="J1" s="289"/>
      <c r="K1" s="290"/>
      <c r="L1" s="291"/>
      <c r="M1" s="292" t="s">
        <v>60</v>
      </c>
      <c r="N1" s="293"/>
      <c r="O1" s="294"/>
      <c r="P1" s="295"/>
    </row>
    <row r="2" spans="1:16" ht="15.75" thickBot="1" x14ac:dyDescent="0.3">
      <c r="A2" s="70"/>
      <c r="B2" s="70"/>
      <c r="C2" s="71"/>
      <c r="D2" s="81" t="s">
        <v>63</v>
      </c>
      <c r="E2" s="299"/>
      <c r="F2" s="300"/>
      <c r="G2" s="301"/>
      <c r="H2" s="70"/>
      <c r="I2" s="71"/>
      <c r="J2" s="71"/>
      <c r="K2" s="35"/>
      <c r="L2" s="35"/>
      <c r="M2" s="72" t="s">
        <v>59</v>
      </c>
      <c r="N2" s="73"/>
      <c r="O2" s="296"/>
      <c r="P2" s="291"/>
    </row>
    <row r="3" spans="1:16" ht="15.75" thickBot="1" x14ac:dyDescent="0.3">
      <c r="A3" s="279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1"/>
      <c r="M3" s="306" t="s">
        <v>61</v>
      </c>
      <c r="N3" s="293"/>
      <c r="O3" s="304"/>
      <c r="P3" s="305"/>
    </row>
    <row r="4" spans="1:16" ht="15.75" thickBot="1" x14ac:dyDescent="0.3">
      <c r="A4" s="302" t="s">
        <v>67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.75" thickBot="1" x14ac:dyDescent="0.3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77" t="s">
        <v>41</v>
      </c>
      <c r="D37" s="278"/>
      <c r="E37" s="282" t="s">
        <v>45</v>
      </c>
      <c r="F37" s="283"/>
      <c r="G37" s="28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3"/>
      <c r="D38" s="303"/>
      <c r="E38" s="267">
        <v>0</v>
      </c>
      <c r="F38" s="268"/>
      <c r="G38" s="26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0"/>
      <c r="D39" s="310"/>
      <c r="E39" s="267">
        <v>0</v>
      </c>
      <c r="F39" s="268"/>
      <c r="G39" s="26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1"/>
      <c r="D40" s="311"/>
      <c r="E40" s="267">
        <v>0</v>
      </c>
      <c r="F40" s="268"/>
      <c r="G40" s="269"/>
      <c r="H40" s="61"/>
      <c r="I40" s="285"/>
      <c r="J40" s="285"/>
      <c r="K40" s="285"/>
      <c r="L40" s="285"/>
      <c r="M40" s="285"/>
      <c r="N40" s="285"/>
      <c r="O40" s="285"/>
      <c r="P40" s="35"/>
    </row>
    <row r="41" spans="1:16" ht="25.5" x14ac:dyDescent="0.25">
      <c r="A41" s="186" t="s">
        <v>37</v>
      </c>
      <c r="B41" s="10"/>
      <c r="C41" s="310"/>
      <c r="D41" s="310"/>
      <c r="E41" s="267">
        <v>0</v>
      </c>
      <c r="F41" s="268"/>
      <c r="G41" s="269"/>
      <c r="H41" s="61"/>
      <c r="I41" s="286"/>
      <c r="J41" s="286"/>
      <c r="K41" s="286"/>
      <c r="L41" s="286"/>
      <c r="M41" s="286"/>
      <c r="N41" s="286"/>
      <c r="O41" s="286"/>
      <c r="P41" s="35"/>
    </row>
    <row r="42" spans="1:16" ht="25.5" x14ac:dyDescent="0.25">
      <c r="A42" s="186" t="s">
        <v>38</v>
      </c>
      <c r="B42" s="10"/>
      <c r="C42" s="274"/>
      <c r="D42" s="276"/>
      <c r="E42" s="255"/>
      <c r="F42" s="256"/>
      <c r="G42" s="257"/>
      <c r="H42" s="61"/>
      <c r="I42" s="286"/>
      <c r="J42" s="286"/>
      <c r="K42" s="286"/>
      <c r="L42" s="286"/>
      <c r="M42" s="286"/>
      <c r="N42" s="286"/>
      <c r="O42" s="286"/>
      <c r="P42" s="35"/>
    </row>
    <row r="43" spans="1:16" x14ac:dyDescent="0.25">
      <c r="A43" s="186" t="s">
        <v>40</v>
      </c>
      <c r="B43" s="10"/>
      <c r="C43" s="274"/>
      <c r="D43" s="275"/>
      <c r="E43" s="255"/>
      <c r="F43" s="256"/>
      <c r="G43" s="257"/>
      <c r="H43" s="61"/>
      <c r="I43" s="286"/>
      <c r="J43" s="286"/>
      <c r="K43" s="286"/>
      <c r="L43" s="286"/>
      <c r="M43" s="286"/>
      <c r="N43" s="286"/>
      <c r="O43" s="286"/>
      <c r="P43" s="35"/>
    </row>
    <row r="44" spans="1:16" x14ac:dyDescent="0.25">
      <c r="A44" s="186" t="s">
        <v>39</v>
      </c>
      <c r="B44" s="10"/>
      <c r="C44" s="272"/>
      <c r="D44" s="273"/>
      <c r="E44" s="255"/>
      <c r="F44" s="256"/>
      <c r="G44" s="25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07"/>
      <c r="D45" s="307"/>
      <c r="E45" s="267">
        <f>M52</f>
        <v>0</v>
      </c>
      <c r="F45" s="268"/>
      <c r="G45" s="26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08"/>
      <c r="D46" s="308"/>
      <c r="E46" s="267">
        <f t="shared" ref="E46:E47" si="0">M53</f>
        <v>0</v>
      </c>
      <c r="F46" s="268"/>
      <c r="G46" s="26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09"/>
      <c r="D47" s="309"/>
      <c r="E47" s="249">
        <f t="shared" si="0"/>
        <v>0</v>
      </c>
      <c r="F47" s="250"/>
      <c r="G47" s="25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2">
        <f>SUM(E38:E47)</f>
        <v>0</v>
      </c>
      <c r="F48" s="253"/>
      <c r="G48" s="25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1" t="s">
        <v>57</v>
      </c>
      <c r="G50" s="262"/>
      <c r="H50" s="262"/>
      <c r="I50" s="262"/>
      <c r="J50" s="262"/>
      <c r="K50" s="262"/>
      <c r="L50" s="262"/>
      <c r="M50" s="263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4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5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6"/>
      <c r="N54" s="34"/>
      <c r="O54" s="260"/>
      <c r="P54" s="260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6"/>
      <c r="N55" s="34"/>
      <c r="O55" s="260"/>
      <c r="P55" s="260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2"/>
      <c r="C1" s="313"/>
      <c r="D1" s="226" t="s">
        <v>62</v>
      </c>
      <c r="E1" s="227"/>
      <c r="F1" s="228"/>
      <c r="G1" s="229"/>
      <c r="H1" s="314"/>
      <c r="I1" s="315"/>
      <c r="J1" s="315"/>
      <c r="K1" s="316"/>
      <c r="L1" s="316"/>
      <c r="M1" s="317"/>
      <c r="N1" s="316"/>
      <c r="O1" s="318"/>
      <c r="P1" s="318"/>
    </row>
    <row r="2" spans="1:16" ht="15.75" thickBot="1" x14ac:dyDescent="0.3">
      <c r="A2" s="302"/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</row>
    <row r="3" spans="1:16" ht="15.75" hidden="1" thickBot="1" x14ac:dyDescent="0.3">
      <c r="A3" s="302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2026-04-09T06:46:26Z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