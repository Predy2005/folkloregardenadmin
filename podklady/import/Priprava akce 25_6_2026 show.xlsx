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7BCA4F68-AD31-4B8E-9A8A-751641C68443}" xr6:coauthVersionLast="47" xr6:coauthVersionMax="47" xr10:uidLastSave="{00000000-0000-0000-0000-000000000000}"/>
  <workbookProtection lockWindows="1"/>
  <bookViews>
    <workbookView xWindow="-120" yWindow="-120" windowWidth="29040" windowHeight="1584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81029"/>
  <fileRecoveryPr autoRecover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5" l="1"/>
  <c r="D56" i="3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s="1"/>
  <c r="E48" i="1" l="1"/>
  <c r="B59" i="1" s="1"/>
  <c r="B60" i="1" s="1"/>
  <c r="D60" i="1"/>
  <c r="D58" i="1"/>
</calcChain>
</file>

<file path=xl/sharedStrings.xml><?xml version="1.0" encoding="utf-8"?>
<sst xmlns="http://schemas.openxmlformats.org/spreadsheetml/2006/main" count="323" uniqueCount="89">
  <si>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</si>
  <si>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</si>
  <si>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</si>
  <si>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</si>
  <si>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</si>
  <si>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</si>
  <si>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</si>
  <si>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</si>
  <si>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</si>
  <si>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</si>
  <si>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</si>
  <si>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</si>
  <si>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</si>
  <si>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</si>
  <si>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</si>
  <si>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</si>
  <si>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</si>
  <si>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</si>
  <si>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</si>
  <si>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</si>
  <si>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</si>
  <si>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</si>
  <si>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</si>
  <si>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</si>
  <si>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</si>
  <si>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</si>
  <si>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</si>
  <si>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</si>
  <si>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</si>
  <si>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</si>
  <si>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</si>
  <si>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</si>
  <si>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</si>
  <si>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</si>
  <si>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</si>
  <si>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</si>
  <si>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</si>
  <si>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</si>
  <si>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</si>
  <si>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</si>
  <si>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</si>
  <si>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</si>
  <si>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</si>
  <si>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</si>
  <si>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</si>
  <si>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</si>
  <si>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</si>
  <si>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</si>
  <si>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</si>
  <si>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</si>
  <si>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</si>
  <si>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</si>
  <si>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</si>
  <si>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</si>
  <si>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</si>
  <si>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</si>
  <si>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</si>
  <si>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</si>
  <si>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</si>
  <si>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</si>
  <si>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</si>
  <si>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</si>
  <si>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</si>
  <si>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</si>
  <si>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</si>
  <si>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</si>
  <si>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</si>
  <si>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</si>
  <si>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</si>
  <si>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 xml:space="preserve">tradice </t>
  </si>
  <si>
    <t>1 drink</t>
  </si>
  <si>
    <t>34 eur/os, fa</t>
  </si>
  <si>
    <t>x</t>
  </si>
  <si>
    <t>rezervace dne 9/1 K</t>
  </si>
  <si>
    <t>4-GTS 06ESEE1518/26QR</t>
  </si>
  <si>
    <t xml:space="preserve">PNB Travel </t>
  </si>
  <si>
    <t>halal</t>
  </si>
  <si>
    <t xml:space="preserve">975 Kč/os. Fa </t>
  </si>
  <si>
    <t>proforma?</t>
  </si>
  <si>
    <t>poptávka ze dne 30/1, Kam</t>
  </si>
  <si>
    <t>neomezeně</t>
  </si>
  <si>
    <t>SAE</t>
  </si>
  <si>
    <t>Agenda Events</t>
  </si>
  <si>
    <t>stejná poptávka</t>
  </si>
  <si>
    <t>poptávka ze dne 2/2 K</t>
  </si>
  <si>
    <t>VAS DMC</t>
  </si>
  <si>
    <t xml:space="preserve">Liberty </t>
  </si>
  <si>
    <t>poptávka ze dne 25/2</t>
  </si>
  <si>
    <t>poptávka ze dne 30/1 K, poptávka obnovena 4/3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</si>
</sst>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3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20" fontId="3" fillId="8" borderId="10" xfId="1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P14" sqref="P14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9" t="s">
        <v>32</v>
      </c>
      <c r="I1" s="300"/>
      <c r="J1" s="267"/>
      <c r="K1" s="268"/>
      <c r="L1" s="269"/>
      <c r="M1" s="270" t="s">
        <v>60</v>
      </c>
      <c r="N1" s="263"/>
      <c r="O1" s="271"/>
      <c r="P1" s="272"/>
    </row>
    <row r="2" spans="1:17" ht="18" customHeight="1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3"/>
      <c r="P2" s="269"/>
    </row>
    <row r="3" spans="1:17" ht="18" customHeight="1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262" t="s">
        <v>61</v>
      </c>
      <c r="N3" s="263"/>
      <c r="O3" s="260"/>
      <c r="P3" s="261"/>
    </row>
    <row r="4" spans="1:17" ht="15.75" thickBot="1" x14ac:dyDescent="0.3">
      <c r="A4" s="258" t="s">
        <v>64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7" ht="15.75" hidden="1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28"/>
      <c r="L10" s="107"/>
      <c r="M10" s="106"/>
      <c r="N10" s="129"/>
      <c r="O10" s="129"/>
      <c r="P10" s="248"/>
      <c r="Q10" s="6"/>
    </row>
    <row r="11" spans="1:17" ht="38.25" x14ac:dyDescent="0.25">
      <c r="A11" s="105" t="s">
        <v>74</v>
      </c>
      <c r="B11" s="101"/>
      <c r="C11" s="102"/>
      <c r="D11" s="102">
        <v>25</v>
      </c>
      <c r="E11" s="102"/>
      <c r="F11" s="102"/>
      <c r="G11" s="102"/>
      <c r="H11" s="102"/>
      <c r="I11" s="102"/>
      <c r="J11" s="107" t="s">
        <v>69</v>
      </c>
      <c r="K11" s="128" t="s">
        <v>70</v>
      </c>
      <c r="L11" s="102"/>
      <c r="M11" s="101" t="s">
        <v>71</v>
      </c>
      <c r="N11" s="103" t="s">
        <v>72</v>
      </c>
      <c r="O11" s="129"/>
      <c r="P11" s="249" t="s">
        <v>73</v>
      </c>
    </row>
    <row r="12" spans="1:17" ht="26.25" customHeight="1" x14ac:dyDescent="0.25">
      <c r="A12" s="110" t="s">
        <v>75</v>
      </c>
      <c r="B12" s="101"/>
      <c r="C12" s="102"/>
      <c r="D12" s="102">
        <v>50</v>
      </c>
      <c r="E12" s="102"/>
      <c r="F12" s="102"/>
      <c r="G12" s="102"/>
      <c r="H12" s="102"/>
      <c r="I12" s="102"/>
      <c r="J12" s="102" t="s">
        <v>76</v>
      </c>
      <c r="K12" s="102" t="s">
        <v>80</v>
      </c>
      <c r="L12" s="102" t="s">
        <v>81</v>
      </c>
      <c r="M12" s="101" t="s">
        <v>77</v>
      </c>
      <c r="N12" s="264" t="s">
        <v>83</v>
      </c>
      <c r="O12" s="103" t="s">
        <v>78</v>
      </c>
      <c r="P12" s="104" t="s">
        <v>79</v>
      </c>
    </row>
    <row r="13" spans="1:17" ht="26.25" x14ac:dyDescent="0.25">
      <c r="A13" s="110" t="s">
        <v>82</v>
      </c>
      <c r="B13" s="101"/>
      <c r="C13" s="102"/>
      <c r="D13" s="102">
        <v>50</v>
      </c>
      <c r="E13" s="102">
        <v>2</v>
      </c>
      <c r="F13" s="102"/>
      <c r="G13" s="102"/>
      <c r="H13" s="102"/>
      <c r="I13" s="102"/>
      <c r="J13" s="102" t="s">
        <v>76</v>
      </c>
      <c r="K13" s="102" t="s">
        <v>80</v>
      </c>
      <c r="L13" s="102"/>
      <c r="M13" s="101" t="s">
        <v>77</v>
      </c>
      <c r="N13" s="265"/>
      <c r="O13" s="103" t="s">
        <v>78</v>
      </c>
      <c r="P13" s="104" t="s">
        <v>84</v>
      </c>
    </row>
    <row r="14" spans="1:17" ht="51.75" x14ac:dyDescent="0.25">
      <c r="A14" s="110" t="s">
        <v>85</v>
      </c>
      <c r="B14" s="101"/>
      <c r="C14" s="102"/>
      <c r="D14" s="102">
        <v>50</v>
      </c>
      <c r="E14" s="102"/>
      <c r="F14" s="102"/>
      <c r="G14" s="102"/>
      <c r="H14" s="102"/>
      <c r="I14" s="102"/>
      <c r="J14" s="102" t="s">
        <v>76</v>
      </c>
      <c r="K14" s="102" t="s">
        <v>80</v>
      </c>
      <c r="L14" s="102"/>
      <c r="M14" s="101" t="s">
        <v>77</v>
      </c>
      <c r="N14" s="265"/>
      <c r="O14" s="103" t="s">
        <v>78</v>
      </c>
      <c r="P14" s="104" t="s">
        <v>88</v>
      </c>
    </row>
    <row r="15" spans="1:17" ht="26.25" x14ac:dyDescent="0.25">
      <c r="A15" s="111" t="s">
        <v>86</v>
      </c>
      <c r="B15" s="101" t="s">
        <v>72</v>
      </c>
      <c r="C15" s="102"/>
      <c r="D15" s="102">
        <v>50</v>
      </c>
      <c r="E15" s="102">
        <v>2</v>
      </c>
      <c r="F15" s="102"/>
      <c r="G15" s="102"/>
      <c r="H15" s="102"/>
      <c r="I15" s="102"/>
      <c r="J15" s="102" t="s">
        <v>76</v>
      </c>
      <c r="K15" s="102" t="s">
        <v>80</v>
      </c>
      <c r="L15" s="102"/>
      <c r="M15" s="101" t="s">
        <v>77</v>
      </c>
      <c r="N15" s="266"/>
      <c r="O15" s="103" t="s">
        <v>78</v>
      </c>
      <c r="P15" s="104" t="s">
        <v>87</v>
      </c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225</v>
      </c>
      <c r="E35" s="174">
        <f>SUM(E9:E34)</f>
        <v>4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59"/>
      <c r="D38" s="259"/>
      <c r="E38" s="291">
        <v>0</v>
      </c>
      <c r="F38" s="292"/>
      <c r="G38" s="293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3"/>
      <c r="D39" s="253"/>
      <c r="E39" s="291">
        <v>0</v>
      </c>
      <c r="F39" s="292"/>
      <c r="G39" s="293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4"/>
      <c r="D40" s="254"/>
      <c r="E40" s="291">
        <v>0</v>
      </c>
      <c r="F40" s="292"/>
      <c r="G40" s="293"/>
      <c r="H40" s="61"/>
      <c r="I40" s="294"/>
      <c r="J40" s="294"/>
      <c r="K40" s="294"/>
      <c r="L40" s="294"/>
      <c r="M40" s="294"/>
      <c r="N40" s="294"/>
      <c r="O40" s="294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3"/>
      <c r="D41" s="253"/>
      <c r="E41" s="291">
        <v>0</v>
      </c>
      <c r="F41" s="292"/>
      <c r="G41" s="293"/>
      <c r="H41" s="61"/>
      <c r="I41" s="295"/>
      <c r="J41" s="295"/>
      <c r="K41" s="295"/>
      <c r="L41" s="295"/>
      <c r="M41" s="295"/>
      <c r="N41" s="295"/>
      <c r="O41" s="295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0"/>
      <c r="D42" s="282"/>
      <c r="E42" s="296"/>
      <c r="F42" s="297"/>
      <c r="G42" s="298"/>
      <c r="H42" s="61"/>
      <c r="I42" s="295"/>
      <c r="J42" s="295"/>
      <c r="K42" s="295"/>
      <c r="L42" s="295"/>
      <c r="M42" s="295"/>
      <c r="N42" s="295"/>
      <c r="O42" s="295"/>
      <c r="P42" s="35"/>
      <c r="R42" s="275"/>
      <c r="S42" s="275"/>
      <c r="T42" s="275"/>
      <c r="U42" s="275"/>
      <c r="V42" s="275"/>
      <c r="W42" s="275"/>
      <c r="X42" s="275"/>
      <c r="Y42" s="275"/>
    </row>
    <row r="43" spans="1:25" ht="43.5" customHeight="1" x14ac:dyDescent="0.25">
      <c r="A43" s="186" t="s">
        <v>40</v>
      </c>
      <c r="B43" s="10"/>
      <c r="C43" s="280"/>
      <c r="D43" s="281"/>
      <c r="E43" s="296"/>
      <c r="F43" s="297"/>
      <c r="G43" s="298"/>
      <c r="H43" s="61"/>
      <c r="I43" s="295"/>
      <c r="J43" s="295"/>
      <c r="K43" s="295"/>
      <c r="L43" s="295"/>
      <c r="M43" s="295"/>
      <c r="N43" s="295"/>
      <c r="O43" s="295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8"/>
      <c r="D44" s="279"/>
      <c r="E44" s="296"/>
      <c r="F44" s="297"/>
      <c r="G44" s="298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4"/>
    </row>
    <row r="45" spans="1:25" x14ac:dyDescent="0.25">
      <c r="A45" s="186" t="s">
        <v>43</v>
      </c>
      <c r="B45" s="10"/>
      <c r="C45" s="250"/>
      <c r="D45" s="250"/>
      <c r="E45" s="291">
        <f>M52</f>
        <v>0</v>
      </c>
      <c r="F45" s="292"/>
      <c r="G45" s="293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4"/>
    </row>
    <row r="46" spans="1:25" x14ac:dyDescent="0.25">
      <c r="A46" s="186" t="s">
        <v>19</v>
      </c>
      <c r="B46" s="10"/>
      <c r="C46" s="251"/>
      <c r="D46" s="251"/>
      <c r="E46" s="291">
        <f t="shared" ref="E46:E47" si="0">M53</f>
        <v>0</v>
      </c>
      <c r="F46" s="292"/>
      <c r="G46" s="293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4"/>
    </row>
    <row r="47" spans="1:25" ht="15.75" thickBot="1" x14ac:dyDescent="0.3">
      <c r="A47" s="187" t="s">
        <v>44</v>
      </c>
      <c r="B47" s="11"/>
      <c r="C47" s="252"/>
      <c r="D47" s="252"/>
      <c r="E47" s="301">
        <f t="shared" si="0"/>
        <v>0</v>
      </c>
      <c r="F47" s="302"/>
      <c r="G47" s="303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4"/>
    </row>
    <row r="48" spans="1:25" ht="24" customHeight="1" thickBot="1" x14ac:dyDescent="0.3">
      <c r="A48" s="65"/>
      <c r="B48" s="65"/>
      <c r="C48" s="65"/>
      <c r="D48" s="206" t="s">
        <v>46</v>
      </c>
      <c r="E48" s="304">
        <f>SUM(E38:E47)</f>
        <v>0</v>
      </c>
      <c r="F48" s="305"/>
      <c r="G48" s="306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0" t="s">
        <v>57</v>
      </c>
      <c r="G50" s="311"/>
      <c r="H50" s="311"/>
      <c r="I50" s="311"/>
      <c r="J50" s="311"/>
      <c r="K50" s="311"/>
      <c r="L50" s="311"/>
      <c r="M50" s="312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07"/>
      <c r="V51" s="307"/>
      <c r="W51" s="307"/>
      <c r="X51" s="307"/>
      <c r="Y51" s="307"/>
      <c r="Z51" s="307"/>
      <c r="AA51" s="307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3"/>
      <c r="N52" s="16"/>
      <c r="O52" s="16"/>
      <c r="P52" s="16"/>
      <c r="Q52" s="19"/>
      <c r="R52" s="20"/>
      <c r="S52" s="19"/>
      <c r="U52" s="308"/>
      <c r="V52" s="308"/>
      <c r="W52" s="308"/>
      <c r="X52" s="308"/>
      <c r="Y52" s="308"/>
      <c r="Z52" s="308"/>
      <c r="AA52" s="308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4"/>
      <c r="N53" s="26"/>
      <c r="O53" s="26"/>
      <c r="P53" s="26"/>
      <c r="Q53" s="19"/>
      <c r="R53" s="20"/>
      <c r="S53" s="19"/>
      <c r="U53" s="308"/>
      <c r="V53" s="308"/>
      <c r="W53" s="308"/>
      <c r="X53" s="308"/>
      <c r="Y53" s="308"/>
      <c r="Z53" s="308"/>
      <c r="AA53" s="308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5"/>
      <c r="N54" s="34"/>
      <c r="O54" s="309"/>
      <c r="P54" s="309"/>
      <c r="Q54" s="19"/>
      <c r="R54" s="20"/>
      <c r="S54" s="19"/>
      <c r="U54" s="308"/>
      <c r="V54" s="308"/>
      <c r="W54" s="308"/>
      <c r="X54" s="308"/>
      <c r="Y54" s="308"/>
      <c r="Z54" s="308"/>
      <c r="AA54" s="308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5"/>
      <c r="N55" s="34"/>
      <c r="O55" s="309"/>
      <c r="P55" s="309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7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N12:N15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9" t="s">
        <v>32</v>
      </c>
      <c r="I1" s="300"/>
      <c r="J1" s="267"/>
      <c r="K1" s="268"/>
      <c r="L1" s="269"/>
      <c r="M1" s="270" t="s">
        <v>60</v>
      </c>
      <c r="N1" s="263"/>
      <c r="O1" s="271"/>
      <c r="P1" s="272"/>
    </row>
    <row r="2" spans="1:16" ht="15.75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3"/>
      <c r="P2" s="269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262" t="s">
        <v>61</v>
      </c>
      <c r="N3" s="263"/>
      <c r="O3" s="260"/>
      <c r="P3" s="261"/>
    </row>
    <row r="4" spans="1:16" ht="15.75" thickBot="1" x14ac:dyDescent="0.3">
      <c r="A4" s="258" t="s">
        <v>34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6" ht="15.75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9"/>
      <c r="D38" s="259"/>
      <c r="E38" s="291">
        <v>0</v>
      </c>
      <c r="F38" s="292"/>
      <c r="G38" s="29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3"/>
      <c r="D39" s="253"/>
      <c r="E39" s="291">
        <v>0</v>
      </c>
      <c r="F39" s="292"/>
      <c r="G39" s="29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4"/>
      <c r="D40" s="254"/>
      <c r="E40" s="291">
        <v>0</v>
      </c>
      <c r="F40" s="292"/>
      <c r="G40" s="293"/>
      <c r="H40" s="61"/>
      <c r="I40" s="294"/>
      <c r="J40" s="294"/>
      <c r="K40" s="294"/>
      <c r="L40" s="294"/>
      <c r="M40" s="294"/>
      <c r="N40" s="294"/>
      <c r="O40" s="294"/>
      <c r="P40" s="35"/>
    </row>
    <row r="41" spans="1:16" ht="25.5" x14ac:dyDescent="0.25">
      <c r="A41" s="186" t="s">
        <v>37</v>
      </c>
      <c r="B41" s="10"/>
      <c r="C41" s="253"/>
      <c r="D41" s="253"/>
      <c r="E41" s="291">
        <v>0</v>
      </c>
      <c r="F41" s="292"/>
      <c r="G41" s="293"/>
      <c r="H41" s="61"/>
      <c r="I41" s="295"/>
      <c r="J41" s="295"/>
      <c r="K41" s="295"/>
      <c r="L41" s="295"/>
      <c r="M41" s="295"/>
      <c r="N41" s="295"/>
      <c r="O41" s="295"/>
      <c r="P41" s="35"/>
    </row>
    <row r="42" spans="1:16" ht="25.5" x14ac:dyDescent="0.25">
      <c r="A42" s="186" t="s">
        <v>38</v>
      </c>
      <c r="B42" s="10"/>
      <c r="C42" s="280"/>
      <c r="D42" s="282"/>
      <c r="E42" s="296"/>
      <c r="F42" s="297"/>
      <c r="G42" s="298"/>
      <c r="H42" s="61"/>
      <c r="I42" s="295"/>
      <c r="J42" s="295"/>
      <c r="K42" s="295"/>
      <c r="L42" s="295"/>
      <c r="M42" s="295"/>
      <c r="N42" s="295"/>
      <c r="O42" s="295"/>
      <c r="P42" s="35"/>
    </row>
    <row r="43" spans="1:16" x14ac:dyDescent="0.25">
      <c r="A43" s="186" t="s">
        <v>40</v>
      </c>
      <c r="B43" s="10"/>
      <c r="C43" s="280"/>
      <c r="D43" s="281"/>
      <c r="E43" s="296"/>
      <c r="F43" s="297"/>
      <c r="G43" s="298"/>
      <c r="H43" s="61"/>
      <c r="I43" s="295"/>
      <c r="J43" s="295"/>
      <c r="K43" s="295"/>
      <c r="L43" s="295"/>
      <c r="M43" s="295"/>
      <c r="N43" s="295"/>
      <c r="O43" s="295"/>
      <c r="P43" s="35"/>
    </row>
    <row r="44" spans="1:16" x14ac:dyDescent="0.25">
      <c r="A44" s="186" t="s">
        <v>39</v>
      </c>
      <c r="B44" s="10"/>
      <c r="C44" s="278"/>
      <c r="D44" s="279"/>
      <c r="E44" s="296"/>
      <c r="F44" s="297"/>
      <c r="G44" s="298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0"/>
      <c r="D45" s="250"/>
      <c r="E45" s="291">
        <f>M52</f>
        <v>0</v>
      </c>
      <c r="F45" s="292"/>
      <c r="G45" s="29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1"/>
      <c r="D46" s="251"/>
      <c r="E46" s="291">
        <f t="shared" ref="E46:E47" si="0">M53</f>
        <v>0</v>
      </c>
      <c r="F46" s="292"/>
      <c r="G46" s="29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2"/>
      <c r="D47" s="252"/>
      <c r="E47" s="301">
        <f t="shared" si="0"/>
        <v>0</v>
      </c>
      <c r="F47" s="302"/>
      <c r="G47" s="303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4">
        <f>SUM(E38:E47)</f>
        <v>0</v>
      </c>
      <c r="F48" s="305"/>
      <c r="G48" s="306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0" t="s">
        <v>57</v>
      </c>
      <c r="G50" s="311"/>
      <c r="H50" s="311"/>
      <c r="I50" s="311"/>
      <c r="J50" s="311"/>
      <c r="K50" s="311"/>
      <c r="L50" s="311"/>
      <c r="M50" s="312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3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4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5"/>
      <c r="N54" s="34"/>
      <c r="O54" s="309"/>
      <c r="P54" s="309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5"/>
      <c r="N55" s="34"/>
      <c r="O55" s="309"/>
      <c r="P55" s="309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9" t="s">
        <v>32</v>
      </c>
      <c r="I1" s="300"/>
      <c r="J1" s="267"/>
      <c r="K1" s="268"/>
      <c r="L1" s="269"/>
      <c r="M1" s="270" t="s">
        <v>60</v>
      </c>
      <c r="N1" s="263"/>
      <c r="O1" s="271"/>
      <c r="P1" s="272"/>
    </row>
    <row r="2" spans="1:16" ht="15.75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3"/>
      <c r="P2" s="269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262" t="s">
        <v>61</v>
      </c>
      <c r="N3" s="263"/>
      <c r="O3" s="260"/>
      <c r="P3" s="261"/>
    </row>
    <row r="4" spans="1:16" ht="15.75" thickBot="1" x14ac:dyDescent="0.3">
      <c r="A4" s="258" t="s">
        <v>68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6" ht="15.75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9"/>
      <c r="D38" s="259"/>
      <c r="E38" s="291">
        <v>0</v>
      </c>
      <c r="F38" s="292"/>
      <c r="G38" s="29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3"/>
      <c r="D39" s="253"/>
      <c r="E39" s="291">
        <v>0</v>
      </c>
      <c r="F39" s="292"/>
      <c r="G39" s="29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4"/>
      <c r="D40" s="254"/>
      <c r="E40" s="291">
        <v>0</v>
      </c>
      <c r="F40" s="292"/>
      <c r="G40" s="293"/>
      <c r="H40" s="61"/>
      <c r="I40" s="294"/>
      <c r="J40" s="294"/>
      <c r="K40" s="294"/>
      <c r="L40" s="294"/>
      <c r="M40" s="294"/>
      <c r="N40" s="294"/>
      <c r="O40" s="294"/>
      <c r="P40" s="35"/>
    </row>
    <row r="41" spans="1:16" ht="25.5" x14ac:dyDescent="0.25">
      <c r="A41" s="186" t="s">
        <v>37</v>
      </c>
      <c r="B41" s="10"/>
      <c r="C41" s="253"/>
      <c r="D41" s="253"/>
      <c r="E41" s="291">
        <v>0</v>
      </c>
      <c r="F41" s="292"/>
      <c r="G41" s="293"/>
      <c r="H41" s="61"/>
      <c r="I41" s="295"/>
      <c r="J41" s="295"/>
      <c r="K41" s="295"/>
      <c r="L41" s="295"/>
      <c r="M41" s="295"/>
      <c r="N41" s="295"/>
      <c r="O41" s="295"/>
      <c r="P41" s="35"/>
    </row>
    <row r="42" spans="1:16" ht="25.5" x14ac:dyDescent="0.25">
      <c r="A42" s="186" t="s">
        <v>38</v>
      </c>
      <c r="B42" s="10"/>
      <c r="C42" s="280"/>
      <c r="D42" s="282"/>
      <c r="E42" s="296"/>
      <c r="F42" s="297"/>
      <c r="G42" s="298"/>
      <c r="H42" s="61"/>
      <c r="I42" s="295"/>
      <c r="J42" s="295"/>
      <c r="K42" s="295"/>
      <c r="L42" s="295"/>
      <c r="M42" s="295"/>
      <c r="N42" s="295"/>
      <c r="O42" s="295"/>
      <c r="P42" s="35"/>
    </row>
    <row r="43" spans="1:16" x14ac:dyDescent="0.25">
      <c r="A43" s="186" t="s">
        <v>40</v>
      </c>
      <c r="B43" s="10"/>
      <c r="C43" s="280"/>
      <c r="D43" s="281"/>
      <c r="E43" s="296"/>
      <c r="F43" s="297"/>
      <c r="G43" s="298"/>
      <c r="H43" s="61"/>
      <c r="I43" s="295"/>
      <c r="J43" s="295"/>
      <c r="K43" s="295"/>
      <c r="L43" s="295"/>
      <c r="M43" s="295"/>
      <c r="N43" s="295"/>
      <c r="O43" s="295"/>
      <c r="P43" s="35"/>
    </row>
    <row r="44" spans="1:16" x14ac:dyDescent="0.25">
      <c r="A44" s="186" t="s">
        <v>39</v>
      </c>
      <c r="B44" s="10"/>
      <c r="C44" s="278"/>
      <c r="D44" s="279"/>
      <c r="E44" s="296"/>
      <c r="F44" s="297"/>
      <c r="G44" s="298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0"/>
      <c r="D45" s="250"/>
      <c r="E45" s="291">
        <f>M52</f>
        <v>0</v>
      </c>
      <c r="F45" s="292"/>
      <c r="G45" s="29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1"/>
      <c r="D46" s="251"/>
      <c r="E46" s="291">
        <f t="shared" ref="E46:E47" si="0">M53</f>
        <v>0</v>
      </c>
      <c r="F46" s="292"/>
      <c r="G46" s="29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2"/>
      <c r="D47" s="252"/>
      <c r="E47" s="301">
        <f t="shared" si="0"/>
        <v>0</v>
      </c>
      <c r="F47" s="302"/>
      <c r="G47" s="303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4">
        <f>SUM(E38:E47)</f>
        <v>0</v>
      </c>
      <c r="F48" s="305"/>
      <c r="G48" s="306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0" t="s">
        <v>57</v>
      </c>
      <c r="G50" s="311"/>
      <c r="H50" s="311"/>
      <c r="I50" s="311"/>
      <c r="J50" s="311"/>
      <c r="K50" s="311"/>
      <c r="L50" s="311"/>
      <c r="M50" s="312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3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4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5"/>
      <c r="N54" s="34"/>
      <c r="O54" s="309"/>
      <c r="P54" s="309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5"/>
      <c r="N55" s="34"/>
      <c r="O55" s="309"/>
      <c r="P55" s="309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9" t="s">
        <v>32</v>
      </c>
      <c r="I1" s="300"/>
      <c r="J1" s="267"/>
      <c r="K1" s="268"/>
      <c r="L1" s="269"/>
      <c r="M1" s="270" t="s">
        <v>60</v>
      </c>
      <c r="N1" s="263"/>
      <c r="O1" s="271"/>
      <c r="P1" s="272"/>
    </row>
    <row r="2" spans="1:16" ht="15.75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3"/>
      <c r="P2" s="269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262" t="s">
        <v>61</v>
      </c>
      <c r="N3" s="263"/>
      <c r="O3" s="260"/>
      <c r="P3" s="261"/>
    </row>
    <row r="4" spans="1:16" ht="15.75" thickBot="1" x14ac:dyDescent="0.3">
      <c r="A4" s="258" t="s">
        <v>67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6" ht="15.75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9"/>
      <c r="D38" s="259"/>
      <c r="E38" s="291">
        <v>0</v>
      </c>
      <c r="F38" s="292"/>
      <c r="G38" s="29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3"/>
      <c r="D39" s="253"/>
      <c r="E39" s="291">
        <v>0</v>
      </c>
      <c r="F39" s="292"/>
      <c r="G39" s="29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4"/>
      <c r="D40" s="254"/>
      <c r="E40" s="291">
        <v>0</v>
      </c>
      <c r="F40" s="292"/>
      <c r="G40" s="293"/>
      <c r="H40" s="61"/>
      <c r="I40" s="294"/>
      <c r="J40" s="294"/>
      <c r="K40" s="294"/>
      <c r="L40" s="294"/>
      <c r="M40" s="294"/>
      <c r="N40" s="294"/>
      <c r="O40" s="294"/>
      <c r="P40" s="35"/>
    </row>
    <row r="41" spans="1:16" ht="25.5" x14ac:dyDescent="0.25">
      <c r="A41" s="186" t="s">
        <v>37</v>
      </c>
      <c r="B41" s="10"/>
      <c r="C41" s="253"/>
      <c r="D41" s="253"/>
      <c r="E41" s="291">
        <v>0</v>
      </c>
      <c r="F41" s="292"/>
      <c r="G41" s="293"/>
      <c r="H41" s="61"/>
      <c r="I41" s="295"/>
      <c r="J41" s="295"/>
      <c r="K41" s="295"/>
      <c r="L41" s="295"/>
      <c r="M41" s="295"/>
      <c r="N41" s="295"/>
      <c r="O41" s="295"/>
      <c r="P41" s="35"/>
    </row>
    <row r="42" spans="1:16" ht="25.5" x14ac:dyDescent="0.25">
      <c r="A42" s="186" t="s">
        <v>38</v>
      </c>
      <c r="B42" s="10"/>
      <c r="C42" s="280"/>
      <c r="D42" s="282"/>
      <c r="E42" s="296"/>
      <c r="F42" s="297"/>
      <c r="G42" s="298"/>
      <c r="H42" s="61"/>
      <c r="I42" s="295"/>
      <c r="J42" s="295"/>
      <c r="K42" s="295"/>
      <c r="L42" s="295"/>
      <c r="M42" s="295"/>
      <c r="N42" s="295"/>
      <c r="O42" s="295"/>
      <c r="P42" s="35"/>
    </row>
    <row r="43" spans="1:16" x14ac:dyDescent="0.25">
      <c r="A43" s="186" t="s">
        <v>40</v>
      </c>
      <c r="B43" s="10"/>
      <c r="C43" s="280"/>
      <c r="D43" s="281"/>
      <c r="E43" s="296"/>
      <c r="F43" s="297"/>
      <c r="G43" s="298"/>
      <c r="H43" s="61"/>
      <c r="I43" s="295"/>
      <c r="J43" s="295"/>
      <c r="K43" s="295"/>
      <c r="L43" s="295"/>
      <c r="M43" s="295"/>
      <c r="N43" s="295"/>
      <c r="O43" s="295"/>
      <c r="P43" s="35"/>
    </row>
    <row r="44" spans="1:16" x14ac:dyDescent="0.25">
      <c r="A44" s="186" t="s">
        <v>39</v>
      </c>
      <c r="B44" s="10"/>
      <c r="C44" s="278"/>
      <c r="D44" s="279"/>
      <c r="E44" s="296"/>
      <c r="F44" s="297"/>
      <c r="G44" s="298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0"/>
      <c r="D45" s="250"/>
      <c r="E45" s="291">
        <f>M52</f>
        <v>0</v>
      </c>
      <c r="F45" s="292"/>
      <c r="G45" s="29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1"/>
      <c r="D46" s="251"/>
      <c r="E46" s="291">
        <f t="shared" ref="E46:E47" si="0">M53</f>
        <v>0</v>
      </c>
      <c r="F46" s="292"/>
      <c r="G46" s="29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2"/>
      <c r="D47" s="252"/>
      <c r="E47" s="301">
        <f t="shared" si="0"/>
        <v>0</v>
      </c>
      <c r="F47" s="302"/>
      <c r="G47" s="303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4">
        <f>SUM(E38:E47)</f>
        <v>0</v>
      </c>
      <c r="F48" s="305"/>
      <c r="G48" s="306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0" t="s">
        <v>57</v>
      </c>
      <c r="G50" s="311"/>
      <c r="H50" s="311"/>
      <c r="I50" s="311"/>
      <c r="J50" s="311"/>
      <c r="K50" s="311"/>
      <c r="L50" s="311"/>
      <c r="M50" s="312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3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4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5"/>
      <c r="N54" s="34"/>
      <c r="O54" s="309"/>
      <c r="P54" s="309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5"/>
      <c r="N55" s="34"/>
      <c r="O55" s="309"/>
      <c r="P55" s="309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6"/>
      <c r="C1" s="317"/>
      <c r="D1" s="226" t="s">
        <v>62</v>
      </c>
      <c r="E1" s="227"/>
      <c r="F1" s="228"/>
      <c r="G1" s="229"/>
      <c r="H1" s="318"/>
      <c r="I1" s="319"/>
      <c r="J1" s="319"/>
      <c r="K1" s="320"/>
      <c r="L1" s="320"/>
      <c r="M1" s="321"/>
      <c r="N1" s="320"/>
      <c r="O1" s="322"/>
      <c r="P1" s="322"/>
    </row>
    <row r="2" spans="1:16" ht="15.75" thickBot="1" x14ac:dyDescent="0.3">
      <c r="A2" s="258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</row>
    <row r="3" spans="1:16" ht="15.75" hidden="1" thickBot="1" x14ac:dyDescent="0.3">
      <c r="A3" s="258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event manager</cp:lastModifiedBy>
  <cp:revision>5</cp:revision>
  <cp:lastPrinted>2018-10-31T12:39:02Z</cp:lastPrinted>
  <dcterms:created xsi:type="dcterms:W3CDTF">2014-05-15T14:58:22Z</dcterms:created>
  <dcterms:modified xsi:type="dcterms:W3CDTF">2026-03-04T10:15:09Z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