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8F9C2C24-0FFC-4508-AEC9-A32BF56762F9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B56" i="4" l="1"/>
  <c r="B58" i="4" s="1"/>
  <c r="C56" i="5"/>
  <c r="C58" i="5" s="1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9" i="1" l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s="1"/>
  <c r="E49" i="1" l="1"/>
  <c r="B60" i="1" s="1"/>
  <c r="B61" i="1" s="1"/>
  <c r="D61" i="1"/>
  <c r="D59" i="1"/>
</calcChain>
</file>

<file path=xl/sharedStrings.xml><?xml version="1.0" encoding="utf-8"?>
<sst xmlns="http://schemas.openxmlformats.org/spreadsheetml/2006/main" count="359" uniqueCount="118">
  <si>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</si>
  <si>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</si>
  <si>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</si>
  <si>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</si>
  <si>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</si>
  <si>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</si>
  <si>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</si>
  <si>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</si>
  <si>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</si>
  <si>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</si>
  <si>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</si>
  <si>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</si>
  <si>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</si>
  <si>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</si>
  <si>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</si>
  <si>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</si>
  <si>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</si>
  <si>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</si>
  <si>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</si>
  <si>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</si>
  <si>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</si>
  <si>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</si>
  <si>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</si>
  <si>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</si>
  <si>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</si>
  <si>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</si>
  <si>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</si>
  <si>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</si>
  <si>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</si>
  <si>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</si>
  <si>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</si>
  <si>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</si>
  <si>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</si>
  <si>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</si>
  <si>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</si>
  <si>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</si>
  <si>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</si>
  <si>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</si>
  <si>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</si>
  <si>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</si>
  <si>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</si>
  <si>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</si>
  <si>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</si>
  <si>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</si>
  <si>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</si>
  <si>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</si>
  <si>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</si>
  <si>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</si>
  <si>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</si>
  <si>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</si>
  <si>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</si>
  <si>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</si>
  <si>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</si>
  <si>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</si>
  <si>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</si>
  <si>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</si>
  <si>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</si>
  <si>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</si>
  <si>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</si>
  <si>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</si>
  <si>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</si>
  <si>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</si>
  <si>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</si>
  <si>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</si>
  <si>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</si>
  <si>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</si>
  <si>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</si>
  <si>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</si>
  <si>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</si>
  <si>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tradiční</t>
  </si>
  <si>
    <t>neomezene</t>
  </si>
  <si>
    <t>Dánsko</t>
  </si>
  <si>
    <t>825 Kč/os., fa</t>
  </si>
  <si>
    <t>rezervace dne 14/6/2025</t>
  </si>
  <si>
    <t>Riis Rejser, sk. PRA101060726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</si>
  <si>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</si>
  <si>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</si>
  <si>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</si>
  <si>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1271LDN3IG</t>
  </si>
  <si>
    <t>Chodov Tour, sk. Tortuga</t>
  </si>
  <si>
    <t>Polsko</t>
  </si>
  <si>
    <t>fa</t>
  </si>
  <si>
    <t>Guus Go</t>
  </si>
  <si>
    <t>whatsapp +34640569841</t>
  </si>
  <si>
    <t>neomezeně</t>
  </si>
  <si>
    <t>Španělsko?</t>
  </si>
  <si>
    <t>49 eur/os, proforma</t>
  </si>
  <si>
    <t>19:00 objednat</t>
  </si>
  <si>
    <t>upřesnit počty</t>
  </si>
  <si>
    <t>rezervace 14/1 K</t>
  </si>
  <si>
    <t>Comfort tour</t>
  </si>
  <si>
    <t>tradice</t>
  </si>
  <si>
    <t>Lotyšsko</t>
  </si>
  <si>
    <t>850 Kč/os, fa</t>
  </si>
  <si>
    <t>x</t>
  </si>
  <si>
    <t>rezervace dne 13/1 K</t>
  </si>
  <si>
    <t>Passion for Prague sk. Flock</t>
  </si>
  <si>
    <t>Fun in Prague</t>
  </si>
  <si>
    <t>Malostranské nám. 261/10</t>
  </si>
  <si>
    <t>Diane Sabanos</t>
  </si>
  <si>
    <t>fa, stará cena</t>
  </si>
  <si>
    <t>18:30 - 19:00</t>
  </si>
  <si>
    <t>rezervace dne 28/1 K</t>
  </si>
  <si>
    <t xml:space="preserve">rezervace dne 22/12, potvrzeno dne 2/2 K </t>
  </si>
  <si>
    <t>Amikor</t>
  </si>
  <si>
    <t>Jean Chezeaud</t>
  </si>
  <si>
    <t>Francie</t>
  </si>
  <si>
    <t>900 Kč/os, fa</t>
  </si>
  <si>
    <t>rezervace dne 16/2 K</t>
  </si>
  <si>
    <t>rezervace 29/9 potvrzeno 18/3 T</t>
  </si>
  <si>
    <t>Henryk 0044 7536 104332</t>
  </si>
  <si>
    <t>potvrzeno 19/3</t>
  </si>
  <si>
    <t>Kuoni, sk. TYO260004626</t>
  </si>
  <si>
    <t>790 Kč/os. Fa</t>
  </si>
  <si>
    <t>kuře</t>
  </si>
  <si>
    <t>Japonsko</t>
  </si>
  <si>
    <t>rezervace dne 7/4 Kam</t>
  </si>
  <si>
    <t>bez pití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</si>
</sst>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3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20" borderId="21" xfId="1" applyFont="1" applyFill="1" applyBorder="1" applyAlignment="1">
      <alignment horizontal="left"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12" activePane="bottomLeft" state="frozen"/>
      <selection pane="bottomLeft" activeCell="K20" sqref="K20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7" ht="18" customHeight="1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7" ht="18" customHeight="1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7" ht="15.75" thickBot="1" x14ac:dyDescent="0.3">
      <c r="A4" s="306" t="s">
        <v>64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7" ht="15.75" hidden="1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28"/>
      <c r="L10" s="107"/>
      <c r="M10" s="106"/>
      <c r="N10" s="129"/>
      <c r="O10" s="129"/>
      <c r="P10" s="248"/>
      <c r="Q10" s="6"/>
    </row>
    <row r="11" spans="1:17" ht="38.25" x14ac:dyDescent="0.25">
      <c r="A11" s="105" t="s">
        <v>74</v>
      </c>
      <c r="B11" s="106"/>
      <c r="C11" s="107"/>
      <c r="D11" s="107">
        <v>54</v>
      </c>
      <c r="E11" s="107">
        <v>2</v>
      </c>
      <c r="F11" s="107"/>
      <c r="G11" s="107"/>
      <c r="H11" s="107"/>
      <c r="I11" s="107"/>
      <c r="J11" s="107" t="s">
        <v>69</v>
      </c>
      <c r="K11" s="107" t="s">
        <v>70</v>
      </c>
      <c r="L11" s="107" t="s">
        <v>71</v>
      </c>
      <c r="M11" s="106" t="s">
        <v>72</v>
      </c>
      <c r="N11" s="108"/>
      <c r="O11" s="108"/>
      <c r="P11" s="109" t="s">
        <v>73</v>
      </c>
    </row>
    <row r="12" spans="1:17" s="1" customFormat="1" ht="127.5" x14ac:dyDescent="0.25">
      <c r="A12" s="105" t="s">
        <v>78</v>
      </c>
      <c r="B12" s="101" t="s">
        <v>75</v>
      </c>
      <c r="C12" s="249" t="s">
        <v>110</v>
      </c>
      <c r="D12" s="249">
        <v>20</v>
      </c>
      <c r="E12" s="249"/>
      <c r="F12" s="249"/>
      <c r="G12" s="249"/>
      <c r="H12" s="249"/>
      <c r="I12" s="249"/>
      <c r="J12" s="249" t="s">
        <v>75</v>
      </c>
      <c r="K12" s="250" t="s">
        <v>75</v>
      </c>
      <c r="L12" s="249"/>
      <c r="M12" s="101" t="s">
        <v>76</v>
      </c>
      <c r="N12" s="129">
        <v>0.79166666666666663</v>
      </c>
      <c r="O12" s="129" t="s">
        <v>77</v>
      </c>
      <c r="P12" s="251" t="s">
        <v>109</v>
      </c>
      <c r="Q12" s="6"/>
    </row>
    <row r="13" spans="1:17" ht="51.75" x14ac:dyDescent="0.25">
      <c r="A13" s="110" t="s">
        <v>79</v>
      </c>
      <c r="B13" s="101"/>
      <c r="C13" s="102"/>
      <c r="D13" s="102">
        <v>50</v>
      </c>
      <c r="E13" s="102"/>
      <c r="F13" s="102"/>
      <c r="G13" s="102"/>
      <c r="H13" s="102"/>
      <c r="I13" s="102"/>
      <c r="J13" s="107" t="s">
        <v>69</v>
      </c>
      <c r="K13" s="107" t="s">
        <v>70</v>
      </c>
      <c r="L13" s="102" t="s">
        <v>80</v>
      </c>
      <c r="M13" s="101" t="s">
        <v>81</v>
      </c>
      <c r="N13" s="103"/>
      <c r="O13" s="103"/>
      <c r="P13" s="104" t="s">
        <v>103</v>
      </c>
    </row>
    <row r="14" spans="1:17" ht="26.25" x14ac:dyDescent="0.25">
      <c r="A14" s="110" t="s">
        <v>82</v>
      </c>
      <c r="B14" s="101" t="s">
        <v>75</v>
      </c>
      <c r="C14" s="102" t="s">
        <v>83</v>
      </c>
      <c r="D14" s="102">
        <v>20</v>
      </c>
      <c r="E14" s="102"/>
      <c r="F14" s="102"/>
      <c r="G14" s="102"/>
      <c r="H14" s="102"/>
      <c r="I14" s="102"/>
      <c r="J14" s="102" t="s">
        <v>75</v>
      </c>
      <c r="K14" s="102" t="s">
        <v>84</v>
      </c>
      <c r="L14" s="102" t="s">
        <v>85</v>
      </c>
      <c r="M14" s="101" t="s">
        <v>86</v>
      </c>
      <c r="N14" s="103" t="s">
        <v>87</v>
      </c>
      <c r="O14" s="103" t="s">
        <v>88</v>
      </c>
      <c r="P14" s="104" t="s">
        <v>89</v>
      </c>
    </row>
    <row r="15" spans="1:17" ht="26.25" x14ac:dyDescent="0.25">
      <c r="A15" s="105" t="s">
        <v>90</v>
      </c>
      <c r="B15" s="101"/>
      <c r="C15" s="102"/>
      <c r="D15" s="102">
        <v>70</v>
      </c>
      <c r="E15" s="102">
        <v>2</v>
      </c>
      <c r="F15" s="102"/>
      <c r="G15" s="102"/>
      <c r="H15" s="102"/>
      <c r="I15" s="102"/>
      <c r="J15" s="102" t="s">
        <v>91</v>
      </c>
      <c r="K15" s="102" t="s">
        <v>84</v>
      </c>
      <c r="L15" s="102" t="s">
        <v>92</v>
      </c>
      <c r="M15" s="101" t="s">
        <v>93</v>
      </c>
      <c r="N15" s="103" t="s">
        <v>94</v>
      </c>
      <c r="O15" s="103"/>
      <c r="P15" s="104" t="s">
        <v>95</v>
      </c>
    </row>
    <row r="16" spans="1:17" ht="38.25" x14ac:dyDescent="0.25">
      <c r="A16" s="252" t="s">
        <v>96</v>
      </c>
      <c r="B16" s="101"/>
      <c r="C16" s="102" t="s">
        <v>75</v>
      </c>
      <c r="D16" s="102">
        <v>25</v>
      </c>
      <c r="E16" s="102">
        <v>2</v>
      </c>
      <c r="F16" s="102"/>
      <c r="G16" s="102"/>
      <c r="H16" s="102"/>
      <c r="I16" s="102"/>
      <c r="J16" s="102" t="s">
        <v>75</v>
      </c>
      <c r="K16" s="102" t="s">
        <v>84</v>
      </c>
      <c r="L16" s="102" t="s">
        <v>75</v>
      </c>
      <c r="M16" s="101" t="s">
        <v>107</v>
      </c>
      <c r="N16" s="103" t="s">
        <v>94</v>
      </c>
      <c r="O16" s="103"/>
      <c r="P16" s="104" t="s">
        <v>111</v>
      </c>
    </row>
    <row r="17" spans="1:17" ht="26.25" x14ac:dyDescent="0.25">
      <c r="A17" s="111" t="s">
        <v>97</v>
      </c>
      <c r="B17" s="101" t="s">
        <v>98</v>
      </c>
      <c r="C17" s="102" t="s">
        <v>99</v>
      </c>
      <c r="D17" s="102">
        <v>2</v>
      </c>
      <c r="E17" s="102"/>
      <c r="F17" s="102"/>
      <c r="G17" s="102"/>
      <c r="H17" s="102"/>
      <c r="I17" s="102"/>
      <c r="J17" s="102" t="s">
        <v>91</v>
      </c>
      <c r="K17" s="102" t="s">
        <v>84</v>
      </c>
      <c r="L17" s="102"/>
      <c r="M17" s="101" t="s">
        <v>100</v>
      </c>
      <c r="N17" s="103" t="s">
        <v>101</v>
      </c>
      <c r="O17" s="103"/>
      <c r="P17" s="104" t="s">
        <v>102</v>
      </c>
    </row>
    <row r="18" spans="1:17" ht="26.25" x14ac:dyDescent="0.25">
      <c r="A18" s="111" t="s">
        <v>104</v>
      </c>
      <c r="B18" s="101"/>
      <c r="C18" s="102" t="s">
        <v>105</v>
      </c>
      <c r="D18" s="102">
        <v>33</v>
      </c>
      <c r="E18" s="102">
        <v>2</v>
      </c>
      <c r="F18" s="102"/>
      <c r="G18" s="102"/>
      <c r="H18" s="102"/>
      <c r="I18" s="102"/>
      <c r="J18" s="102" t="s">
        <v>91</v>
      </c>
      <c r="K18" s="102" t="s">
        <v>84</v>
      </c>
      <c r="L18" s="102" t="s">
        <v>106</v>
      </c>
      <c r="M18" s="101" t="s">
        <v>107</v>
      </c>
      <c r="N18" s="103" t="s">
        <v>94</v>
      </c>
      <c r="O18" s="103"/>
      <c r="P18" s="112" t="s">
        <v>108</v>
      </c>
    </row>
    <row r="19" spans="1:17" ht="26.25" x14ac:dyDescent="0.25">
      <c r="A19" s="111" t="s">
        <v>112</v>
      </c>
      <c r="B19" s="101" t="s">
        <v>94</v>
      </c>
      <c r="C19" s="102"/>
      <c r="D19" s="102">
        <v>28</v>
      </c>
      <c r="E19" s="102">
        <v>2</v>
      </c>
      <c r="F19" s="102"/>
      <c r="G19" s="102"/>
      <c r="H19" s="102"/>
      <c r="I19" s="102"/>
      <c r="J19" s="102" t="s">
        <v>114</v>
      </c>
      <c r="K19" s="102" t="s">
        <v>117</v>
      </c>
      <c r="L19" s="102" t="s">
        <v>115</v>
      </c>
      <c r="M19" s="101" t="s">
        <v>113</v>
      </c>
      <c r="N19" s="103" t="s">
        <v>94</v>
      </c>
      <c r="O19" s="103"/>
      <c r="P19" s="112" t="s">
        <v>116</v>
      </c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ht="15.75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/>
      <c r="O21" s="137"/>
      <c r="P21" s="138"/>
      <c r="Q21" s="2"/>
    </row>
    <row r="22" spans="1:17" s="3" customFormat="1" ht="16.5" customHeight="1" thickBot="1" x14ac:dyDescent="0.3">
      <c r="A22" s="143"/>
      <c r="B22" s="132"/>
      <c r="C22" s="132"/>
      <c r="D22" s="132"/>
      <c r="E22" s="132"/>
      <c r="F22" s="132"/>
      <c r="G22" s="133" t="s">
        <v>15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7" ht="15.75" thickBot="1" x14ac:dyDescent="0.3">
      <c r="A23" s="144"/>
      <c r="B23" s="145"/>
      <c r="C23" s="146"/>
      <c r="D23" s="147"/>
      <c r="E23" s="147"/>
      <c r="F23" s="147"/>
      <c r="G23" s="148"/>
      <c r="H23" s="148"/>
      <c r="I23" s="149"/>
      <c r="J23" s="147"/>
      <c r="K23" s="147"/>
      <c r="L23" s="147"/>
      <c r="M23" s="147"/>
      <c r="N23" s="150"/>
      <c r="O23" s="150"/>
      <c r="P23" s="151"/>
    </row>
    <row r="24" spans="1:17" ht="15.75" thickBot="1" x14ac:dyDescent="0.3">
      <c r="A24" s="143"/>
      <c r="B24" s="132"/>
      <c r="C24" s="132"/>
      <c r="D24" s="132"/>
      <c r="E24" s="132"/>
      <c r="F24" s="132"/>
      <c r="G24" s="133" t="s">
        <v>16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s="3" customFormat="1" x14ac:dyDescent="0.25">
      <c r="A25" s="139"/>
      <c r="B25" s="127"/>
      <c r="C25" s="140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30"/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SUM(D9:D35)</f>
        <v>302</v>
      </c>
      <c r="E36" s="174">
        <f>SUM(E9:E35)</f>
        <v>10</v>
      </c>
      <c r="F36" s="175"/>
      <c r="G36" s="176">
        <f>SUM(G9:G35)</f>
        <v>0</v>
      </c>
      <c r="H36" s="172">
        <f>SUM(H9:H35)</f>
        <v>0</v>
      </c>
      <c r="I36" s="173">
        <f>SUM(I9:I35)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81" t="s">
        <v>41</v>
      </c>
      <c r="D38" s="282"/>
      <c r="E38" s="286" t="s">
        <v>45</v>
      </c>
      <c r="F38" s="287"/>
      <c r="G38" s="288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307"/>
      <c r="D39" s="307"/>
      <c r="E39" s="271">
        <v>0</v>
      </c>
      <c r="F39" s="272"/>
      <c r="G39" s="273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314"/>
      <c r="D40" s="314"/>
      <c r="E40" s="271">
        <v>0</v>
      </c>
      <c r="F40" s="272"/>
      <c r="G40" s="273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315"/>
      <c r="D41" s="315"/>
      <c r="E41" s="271">
        <v>0</v>
      </c>
      <c r="F41" s="272"/>
      <c r="G41" s="273"/>
      <c r="H41" s="61"/>
      <c r="I41" s="289"/>
      <c r="J41" s="289"/>
      <c r="K41" s="289"/>
      <c r="L41" s="289"/>
      <c r="M41" s="289"/>
      <c r="N41" s="289"/>
      <c r="O41" s="289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314"/>
      <c r="D42" s="314"/>
      <c r="E42" s="271">
        <v>0</v>
      </c>
      <c r="F42" s="272"/>
      <c r="G42" s="273"/>
      <c r="H42" s="61"/>
      <c r="I42" s="290"/>
      <c r="J42" s="290"/>
      <c r="K42" s="290"/>
      <c r="L42" s="290"/>
      <c r="M42" s="290"/>
      <c r="N42" s="290"/>
      <c r="O42" s="290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78"/>
      <c r="D43" s="280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  <c r="R43" s="302"/>
      <c r="S43" s="302"/>
      <c r="T43" s="302"/>
      <c r="U43" s="302"/>
      <c r="V43" s="302"/>
      <c r="W43" s="302"/>
      <c r="X43" s="302"/>
      <c r="Y43" s="302"/>
    </row>
    <row r="44" spans="1:25" ht="43.5" customHeight="1" x14ac:dyDescent="0.25">
      <c r="A44" s="186" t="s">
        <v>40</v>
      </c>
      <c r="B44" s="10"/>
      <c r="C44" s="278"/>
      <c r="D44" s="279"/>
      <c r="E44" s="259"/>
      <c r="F44" s="260"/>
      <c r="G44" s="261"/>
      <c r="H44" s="61"/>
      <c r="I44" s="290"/>
      <c r="J44" s="290"/>
      <c r="K44" s="290"/>
      <c r="L44" s="290"/>
      <c r="M44" s="290"/>
      <c r="N44" s="290"/>
      <c r="O44" s="290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76"/>
      <c r="D45" s="277"/>
      <c r="E45" s="259"/>
      <c r="F45" s="260"/>
      <c r="G45" s="261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301"/>
    </row>
    <row r="46" spans="1:25" x14ac:dyDescent="0.25">
      <c r="A46" s="186" t="s">
        <v>43</v>
      </c>
      <c r="B46" s="10"/>
      <c r="C46" s="311"/>
      <c r="D46" s="311"/>
      <c r="E46" s="271">
        <f>M53</f>
        <v>0</v>
      </c>
      <c r="F46" s="272"/>
      <c r="G46" s="273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301"/>
    </row>
    <row r="47" spans="1:25" x14ac:dyDescent="0.25">
      <c r="A47" s="186" t="s">
        <v>19</v>
      </c>
      <c r="B47" s="10"/>
      <c r="C47" s="312"/>
      <c r="D47" s="312"/>
      <c r="E47" s="271">
        <f t="shared" ref="E47:E48" si="0">M54</f>
        <v>0</v>
      </c>
      <c r="F47" s="272"/>
      <c r="G47" s="273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301"/>
    </row>
    <row r="48" spans="1:25" ht="15.75" thickBot="1" x14ac:dyDescent="0.3">
      <c r="A48" s="187" t="s">
        <v>44</v>
      </c>
      <c r="B48" s="11"/>
      <c r="C48" s="313"/>
      <c r="D48" s="313"/>
      <c r="E48" s="253">
        <f t="shared" si="0"/>
        <v>0</v>
      </c>
      <c r="F48" s="254"/>
      <c r="G48" s="255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301"/>
    </row>
    <row r="49" spans="1:27" ht="24" customHeight="1" thickBot="1" x14ac:dyDescent="0.3">
      <c r="A49" s="65"/>
      <c r="B49" s="65"/>
      <c r="C49" s="65"/>
      <c r="D49" s="206" t="s">
        <v>46</v>
      </c>
      <c r="E49" s="256">
        <f>SUM(E39:E48)</f>
        <v>0</v>
      </c>
      <c r="F49" s="257"/>
      <c r="G49" s="258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265" t="s">
        <v>57</v>
      </c>
      <c r="G51" s="266"/>
      <c r="H51" s="266"/>
      <c r="I51" s="266"/>
      <c r="J51" s="266"/>
      <c r="K51" s="266"/>
      <c r="L51" s="266"/>
      <c r="M51" s="267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262"/>
      <c r="V52" s="262"/>
      <c r="W52" s="262"/>
      <c r="X52" s="262"/>
      <c r="Y52" s="262"/>
      <c r="Z52" s="262"/>
      <c r="AA52" s="262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268"/>
      <c r="N53" s="16"/>
      <c r="O53" s="16"/>
      <c r="P53" s="16"/>
      <c r="Q53" s="19"/>
      <c r="R53" s="20"/>
      <c r="S53" s="19"/>
      <c r="U53" s="263"/>
      <c r="V53" s="263"/>
      <c r="W53" s="263"/>
      <c r="X53" s="263"/>
      <c r="Y53" s="263"/>
      <c r="Z53" s="263"/>
      <c r="AA53" s="263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269"/>
      <c r="N54" s="26"/>
      <c r="O54" s="26"/>
      <c r="P54" s="26"/>
      <c r="Q54" s="19"/>
      <c r="R54" s="20"/>
      <c r="S54" s="19"/>
      <c r="U54" s="263"/>
      <c r="V54" s="263"/>
      <c r="W54" s="263"/>
      <c r="X54" s="263"/>
      <c r="Y54" s="263"/>
      <c r="Z54" s="263"/>
      <c r="AA54" s="263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270"/>
      <c r="N55" s="34"/>
      <c r="O55" s="264"/>
      <c r="P55" s="264"/>
      <c r="Q55" s="19"/>
      <c r="R55" s="20"/>
      <c r="S55" s="19"/>
      <c r="U55" s="263"/>
      <c r="V55" s="263"/>
      <c r="W55" s="263"/>
      <c r="X55" s="263"/>
      <c r="Y55" s="263"/>
      <c r="Z55" s="263"/>
      <c r="AA55" s="263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270"/>
      <c r="N56" s="34"/>
      <c r="O56" s="264"/>
      <c r="P56" s="264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C46:D46"/>
    <mergeCell ref="C47:D47"/>
    <mergeCell ref="C48:D48"/>
    <mergeCell ref="C40:D40"/>
    <mergeCell ref="C41:D41"/>
    <mergeCell ref="C42:D42"/>
    <mergeCell ref="E2:G2"/>
    <mergeCell ref="A4:P5"/>
    <mergeCell ref="C39:D39"/>
    <mergeCell ref="O3:P3"/>
    <mergeCell ref="M3:N3"/>
    <mergeCell ref="J1:L1"/>
    <mergeCell ref="M1:N1"/>
    <mergeCell ref="O1:P1"/>
    <mergeCell ref="O2:P2"/>
    <mergeCell ref="Y47:Y48"/>
    <mergeCell ref="Y45:Y46"/>
    <mergeCell ref="R43:Y43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34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4"/>
      <c r="D39" s="314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5"/>
      <c r="D40" s="315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4"/>
      <c r="D41" s="314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1"/>
      <c r="D45" s="311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2"/>
      <c r="D46" s="312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3"/>
      <c r="D47" s="313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68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4"/>
      <c r="D39" s="314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5"/>
      <c r="D40" s="315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4"/>
      <c r="D41" s="314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1"/>
      <c r="D45" s="311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2"/>
      <c r="D46" s="312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3"/>
      <c r="D47" s="313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67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4"/>
      <c r="D39" s="314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5"/>
      <c r="D40" s="315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4"/>
      <c r="D41" s="314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1"/>
      <c r="D45" s="311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2"/>
      <c r="D46" s="312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3"/>
      <c r="D47" s="313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6"/>
      <c r="C1" s="317"/>
      <c r="D1" s="226" t="s">
        <v>62</v>
      </c>
      <c r="E1" s="227"/>
      <c r="F1" s="228"/>
      <c r="G1" s="229"/>
      <c r="H1" s="318"/>
      <c r="I1" s="319"/>
      <c r="J1" s="319"/>
      <c r="K1" s="320"/>
      <c r="L1" s="320"/>
      <c r="M1" s="321"/>
      <c r="N1" s="320"/>
      <c r="O1" s="322"/>
      <c r="P1" s="322"/>
    </row>
    <row r="2" spans="1:16" ht="15.75" thickBot="1" x14ac:dyDescent="0.3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</row>
    <row r="3" spans="1:16" ht="15.75" hidden="1" thickBot="1" x14ac:dyDescent="0.3">
      <c r="A3" s="306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2026-04-07T14:38:36Z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