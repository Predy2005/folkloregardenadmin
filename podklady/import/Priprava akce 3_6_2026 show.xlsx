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xr:revisionPtr revIDLastSave="0" documentId="13_ncr:1_{76EFB257-D1F2-4682-8689-A83F7E26AEED}" xr6:coauthVersionLast="47" xr6:coauthVersionMax="47" xr10:uidLastSave="{00000000-0000-0000-0000-000000000000}"/>
  <workbookProtection lockWindows="1"/>
  <bookViews>
    <workbookView xWindow="-120" yWindow="-120" windowWidth="29040" windowHeight="15840" tabRatio="989" xr2:uid="{00000000-000D-0000-FFFF-FFFF00000000}"/>
  </bookViews>
  <sheets>
    <sheet name="Roubenka, terasa" sheetId="1" r:id="rId1"/>
    <sheet name="Altán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terasa'!$A$1:$P$60</definedName>
  </definedNames>
  <calcPr calcId="181029"/>
  <fileRecoveryPr autoRecover="0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6" l="1"/>
  <c r="D27" i="6"/>
  <c r="D55" i="5"/>
  <c r="C55" i="5"/>
  <c r="B55" i="5"/>
  <c r="D54" i="5"/>
  <c r="C54" i="5"/>
  <c r="B54" i="5"/>
  <c r="D53" i="5"/>
  <c r="C53" i="5"/>
  <c r="B53" i="5"/>
  <c r="D52" i="5"/>
  <c r="E47" i="5"/>
  <c r="E46" i="5"/>
  <c r="E45" i="5"/>
  <c r="I35" i="5"/>
  <c r="C52" i="5" s="1"/>
  <c r="H35" i="5"/>
  <c r="B52" i="5" s="1"/>
  <c r="G35" i="5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5" i="3"/>
  <c r="C55" i="3"/>
  <c r="B55" i="3"/>
  <c r="D54" i="3"/>
  <c r="C54" i="3"/>
  <c r="B54" i="3"/>
  <c r="D53" i="3"/>
  <c r="C53" i="3"/>
  <c r="B53" i="3"/>
  <c r="E47" i="3"/>
  <c r="E46" i="3"/>
  <c r="E45" i="3"/>
  <c r="I35" i="3"/>
  <c r="C52" i="3" s="1"/>
  <c r="H35" i="3"/>
  <c r="B52" i="3" s="1"/>
  <c r="G35" i="3"/>
  <c r="D52" i="3" s="1"/>
  <c r="E35" i="3"/>
  <c r="D35" i="3"/>
  <c r="D54" i="1"/>
  <c r="C54" i="1"/>
  <c r="B54" i="1"/>
  <c r="C55" i="1"/>
  <c r="B55" i="1"/>
  <c r="D53" i="1"/>
  <c r="C53" i="1"/>
  <c r="B53" i="1"/>
  <c r="I35" i="1"/>
  <c r="C52" i="1" s="1"/>
  <c r="D56" i="3" l="1"/>
  <c r="D56" i="5"/>
  <c r="B56" i="4"/>
  <c r="B58" i="4" s="1"/>
  <c r="C56" i="5"/>
  <c r="C58" i="5" s="1"/>
  <c r="D56" i="4"/>
  <c r="D58" i="4" s="1"/>
  <c r="C56" i="1"/>
  <c r="C60" i="1" s="1"/>
  <c r="B56" i="3"/>
  <c r="B58" i="3" s="1"/>
  <c r="C56" i="3"/>
  <c r="C58" i="3" s="1"/>
  <c r="E48" i="5"/>
  <c r="B59" i="5" s="1"/>
  <c r="E48" i="3"/>
  <c r="B59" i="3" s="1"/>
  <c r="C56" i="4"/>
  <c r="C58" i="4" s="1"/>
  <c r="E48" i="4"/>
  <c r="B59" i="4" s="1"/>
  <c r="B60" i="4" s="1"/>
  <c r="B56" i="5"/>
  <c r="B58" i="5" s="1"/>
  <c r="D60" i="5"/>
  <c r="D58" i="5"/>
  <c r="D60" i="4"/>
  <c r="D60" i="3"/>
  <c r="D58" i="3"/>
  <c r="C60" i="3"/>
  <c r="C60" i="5" l="1"/>
  <c r="C58" i="1"/>
  <c r="B60" i="3"/>
  <c r="C60" i="4"/>
  <c r="B60" i="5"/>
  <c r="E45" i="1"/>
  <c r="D55" i="1"/>
  <c r="E46" i="1"/>
  <c r="E47" i="1"/>
  <c r="E35" i="1"/>
  <c r="D35" i="1"/>
  <c r="H35" i="1"/>
  <c r="B52" i="1" s="1"/>
  <c r="B56" i="1" s="1"/>
  <c r="B58" i="1" s="1"/>
  <c r="G35" i="1"/>
  <c r="D52" i="1" s="1"/>
  <c r="D56" i="1" l="1"/>
  <c r="E48" i="1"/>
  <c r="B59" i="1" s="1"/>
  <c r="B60" i="1"/>
  <c r="D60" i="1"/>
  <c r="D58" i="1"/>
</calcChain>
</file>

<file path=xl/sharedStrings.xml><?xml version="1.0" encoding="utf-8"?>
<sst xmlns="http://schemas.openxmlformats.org/spreadsheetml/2006/main" count="339" uniqueCount="104">
  <si>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</si>
  <si>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</si>
  <si>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</si>
  <si>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</si>
  <si>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</si>
  <si>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</si>
  <si>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</si>
  <si>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</si>
  <si>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</si>
  <si>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</si>
  <si>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</si>
  <si>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</si>
  <si>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</si>
  <si>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</si>
  <si>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</si>
  <si>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</si>
  <si>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</si>
  <si>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</si>
  <si>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</si>
  <si>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</si>
  <si>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</si>
  <si>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</si>
  <si>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</si>
  <si>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</si>
  <si>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</si>
  <si>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</si>
  <si>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</si>
  <si>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</si>
  <si>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</si>
  <si>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</si>
  <si>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</si>
  <si>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</si>
  <si>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</si>
  <si>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</si>
  <si>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</si>
  <si>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</si>
  <si>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</si>
  <si>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</si>
  <si>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</si>
  <si>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</si>
  <si>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</si>
  <si>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</si>
  <si>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</si>
  <si>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</si>
  <si>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</si>
  <si>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</si>
  <si>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</si>
  <si>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</si>
  <si>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</si>
  <si>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</si>
  <si>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</si>
  <si>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</si>
  <si>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</si>
  <si>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</si>
  <si>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</si>
  <si>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</si>
  <si>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</si>
  <si>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</si>
  <si>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</si>
  <si>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</si>
  <si>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</si>
  <si>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</si>
  <si>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</si>
  <si>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</si>
  <si>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</si>
  <si>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</si>
  <si>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</si>
  <si>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</si>
  <si>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</si>
  <si>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>tradiční</t>
  </si>
  <si>
    <t>neomezene</t>
  </si>
  <si>
    <t>Dánsko</t>
  </si>
  <si>
    <t>825 Kč/os., fa</t>
  </si>
  <si>
    <t>rezervace dne 14/6/2025</t>
  </si>
  <si>
    <t>Riis Rejser, sk. PRA1053126</t>
  </si>
  <si>
    <t>upřesnit</t>
  </si>
  <si>
    <t>37 eur/os + 5 eur/příplatky KROMĚ LOSOSA; DEZERT PERNÍK ; platba u nás</t>
  </si>
  <si>
    <t>!trf KÓDY - skupiny zač. písmenem nesmí jet společně autobusem se skupinou zač. číslem</t>
  </si>
  <si>
    <t>Expat Explore 1405LDN3IG</t>
  </si>
  <si>
    <t>whatsapp +34640569841</t>
  </si>
  <si>
    <t>Guus Go</t>
  </si>
  <si>
    <t>neomezeně</t>
  </si>
  <si>
    <t>Španělsko?</t>
  </si>
  <si>
    <t>49 eur/os, proforma</t>
  </si>
  <si>
    <t>19:00 objednat</t>
  </si>
  <si>
    <t>rezervace 14/1 K</t>
  </si>
  <si>
    <t>upřesnit počty</t>
  </si>
  <si>
    <t>Fun in Prague</t>
  </si>
  <si>
    <t>GALE RASPEN</t>
  </si>
  <si>
    <t>Hotel Klárov</t>
  </si>
  <si>
    <t>tradice</t>
  </si>
  <si>
    <t>fa, stará cena</t>
  </si>
  <si>
    <t>rezervace dne 23/1 K</t>
  </si>
  <si>
    <t>18:30 - 19:00</t>
  </si>
  <si>
    <t>x</t>
  </si>
  <si>
    <t>Yodrapee Toyord</t>
  </si>
  <si>
    <t>1x tradice</t>
  </si>
  <si>
    <t>rezervace 8/2 T</t>
  </si>
  <si>
    <t>Amikor</t>
  </si>
  <si>
    <t>Francie</t>
  </si>
  <si>
    <t>900 Kč/os.?, fa po akci</t>
  </si>
  <si>
    <t>rezervace dne 9/2, Kam, přesun na 4/6</t>
  </si>
  <si>
    <t>rezervace 29/9 strono 18/3 T</t>
  </si>
  <si>
    <t>ozvou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</si>
</sst>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19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  <font>
      <b/>
      <strike/>
      <sz val="10"/>
      <name val="Calibri"/>
      <family val="2"/>
      <charset val="238"/>
    </font>
    <font>
      <sz val="10"/>
      <color theme="1"/>
      <name val="Calibri"/>
      <family val="2"/>
      <charset val="238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26">
    <xf numFmtId="0" fontId="0" fillId="0" borderId="0" xfId="0"/>
    <xf numFmtId="0" fontId="0" fillId="0" borderId="7" xfId="0" applyBorder="1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4" xfId="0" applyBorder="1"/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167" fontId="13" fillId="6" borderId="9" xfId="0" applyNumberFormat="1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vertical="center"/>
    </xf>
    <xf numFmtId="164" fontId="12" fillId="6" borderId="15" xfId="0" applyNumberFormat="1" applyFont="1" applyFill="1" applyBorder="1" applyAlignment="1">
      <alignment horizontal="center" vertical="center"/>
    </xf>
    <xf numFmtId="165" fontId="12" fillId="6" borderId="15" xfId="0" applyNumberFormat="1" applyFont="1" applyFill="1" applyBorder="1" applyAlignment="1">
      <alignment horizontal="center" vertical="center"/>
    </xf>
    <xf numFmtId="167" fontId="12" fillId="6" borderId="15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vertical="center"/>
    </xf>
    <xf numFmtId="0" fontId="12" fillId="7" borderId="28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7" xfId="0" applyNumberFormat="1" applyFont="1" applyFill="1" applyBorder="1" applyAlignment="1">
      <alignment vertical="center"/>
    </xf>
    <xf numFmtId="164" fontId="13" fillId="6" borderId="32" xfId="0" applyNumberFormat="1" applyFont="1" applyFill="1" applyBorder="1" applyAlignment="1">
      <alignment vertical="center"/>
    </xf>
    <xf numFmtId="0" fontId="3" fillId="8" borderId="9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20" fontId="3" fillId="8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wrapText="1"/>
    </xf>
    <xf numFmtId="0" fontId="5" fillId="8" borderId="21" xfId="1" applyFont="1" applyFill="1" applyBorder="1" applyAlignment="1">
      <alignment horizontal="left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20" fontId="5" fillId="8" borderId="9" xfId="1" applyNumberFormat="1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wrapText="1"/>
    </xf>
    <xf numFmtId="0" fontId="3" fillId="9" borderId="21" xfId="1" applyFont="1" applyFill="1" applyBorder="1" applyAlignment="1">
      <alignment horizontal="left" vertical="center" wrapText="1"/>
    </xf>
    <xf numFmtId="0" fontId="3" fillId="8" borderId="21" xfId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wrapText="1" shrinkToFi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5" fillId="8" borderId="51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20" fontId="3" fillId="3" borderId="10" xfId="1" applyNumberFormat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wrapText="1"/>
    </xf>
    <xf numFmtId="0" fontId="3" fillId="8" borderId="51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 shrinkToFit="1"/>
    </xf>
    <xf numFmtId="0" fontId="3" fillId="8" borderId="52" xfId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center" vertical="center" wrapText="1"/>
    </xf>
    <xf numFmtId="3" fontId="4" fillId="8" borderId="10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 wrapText="1"/>
    </xf>
    <xf numFmtId="0" fontId="5" fillId="3" borderId="53" xfId="1" applyFont="1" applyFill="1" applyBorder="1" applyAlignment="1">
      <alignment horizontal="left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8" borderId="54" xfId="1" applyFont="1" applyFill="1" applyBorder="1" applyAlignment="1">
      <alignment horizontal="center" vertical="center" wrapText="1"/>
    </xf>
    <xf numFmtId="164" fontId="5" fillId="8" borderId="54" xfId="1" applyNumberFormat="1" applyFont="1" applyFill="1" applyBorder="1" applyAlignment="1">
      <alignment horizontal="center" vertical="center" wrapText="1"/>
    </xf>
    <xf numFmtId="165" fontId="5" fillId="8" borderId="54" xfId="1" applyNumberFormat="1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41" xfId="0" applyFont="1" applyFill="1" applyBorder="1" applyAlignment="1">
      <alignment horizontal="left" wrapText="1"/>
    </xf>
    <xf numFmtId="0" fontId="5" fillId="15" borderId="42" xfId="0" applyFont="1" applyFill="1" applyBorder="1" applyAlignment="1">
      <alignment horizontal="left" vertical="center" wrapText="1"/>
    </xf>
    <xf numFmtId="0" fontId="5" fillId="15" borderId="45" xfId="0" applyFont="1" applyFill="1" applyBorder="1" applyAlignment="1">
      <alignment horizontal="left" wrapText="1"/>
    </xf>
    <xf numFmtId="0" fontId="5" fillId="15" borderId="43" xfId="0" applyFont="1" applyFill="1" applyBorder="1" applyAlignment="1">
      <alignment horizontal="left" wrapText="1"/>
    </xf>
    <xf numFmtId="0" fontId="1" fillId="15" borderId="42" xfId="0" applyFont="1" applyFill="1" applyBorder="1" applyAlignment="1">
      <alignment horizontal="center" vertical="center" wrapText="1" shrinkToFit="1"/>
    </xf>
    <xf numFmtId="0" fontId="1" fillId="15" borderId="43" xfId="0" applyFont="1" applyFill="1" applyBorder="1" applyAlignment="1">
      <alignment horizontal="center" vertical="center" wrapText="1" shrinkToFit="1"/>
    </xf>
    <xf numFmtId="0" fontId="4" fillId="15" borderId="41" xfId="0" applyFont="1" applyFill="1" applyBorder="1" applyAlignment="1">
      <alignment vertical="center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1" fillId="15" borderId="44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7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3" xfId="0" applyNumberFormat="1" applyFont="1" applyFill="1" applyBorder="1" applyAlignment="1">
      <alignment horizontal="right" vertical="center" wrapText="1"/>
    </xf>
    <xf numFmtId="164" fontId="3" fillId="17" borderId="23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10" xfId="0" applyNumberFormat="1" applyFont="1" applyFill="1" applyBorder="1" applyAlignment="1">
      <alignment horizontal="right" vertical="center" wrapText="1"/>
    </xf>
    <xf numFmtId="164" fontId="3" fillId="17" borderId="27" xfId="0" applyNumberFormat="1" applyFont="1" applyFill="1" applyBorder="1" applyAlignment="1">
      <alignment horizontal="right" vertical="center" wrapText="1"/>
    </xf>
    <xf numFmtId="164" fontId="4" fillId="17" borderId="25" xfId="0" applyNumberFormat="1" applyFont="1" applyFill="1" applyBorder="1" applyAlignment="1">
      <alignment horizontal="right" vertical="center"/>
    </xf>
    <xf numFmtId="165" fontId="3" fillId="17" borderId="15" xfId="0" applyNumberFormat="1" applyFont="1" applyFill="1" applyBorder="1" applyAlignment="1">
      <alignment horizontal="right" vertical="center" wrapText="1"/>
    </xf>
    <xf numFmtId="164" fontId="3" fillId="17" borderId="16" xfId="0" applyNumberFormat="1" applyFont="1" applyFill="1" applyBorder="1" applyAlignment="1">
      <alignment horizontal="right" vertical="center" wrapText="1"/>
    </xf>
    <xf numFmtId="0" fontId="1" fillId="13" borderId="39" xfId="0" applyFont="1" applyFill="1" applyBorder="1" applyAlignment="1">
      <alignment wrapText="1"/>
    </xf>
    <xf numFmtId="164" fontId="10" fillId="17" borderId="56" xfId="0" applyNumberFormat="1" applyFont="1" applyFill="1" applyBorder="1" applyAlignment="1">
      <alignment horizontal="right" vertical="center" wrapText="1"/>
    </xf>
    <xf numFmtId="168" fontId="10" fillId="17" borderId="29" xfId="0" applyNumberFormat="1" applyFont="1" applyFill="1" applyBorder="1" applyAlignment="1">
      <alignment horizontal="right" vertical="center" wrapText="1"/>
    </xf>
    <xf numFmtId="164" fontId="10" fillId="17" borderId="29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8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5" xfId="0" applyFont="1" applyFill="1" applyBorder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wrapText="1" shrinkToFit="1"/>
    </xf>
    <xf numFmtId="0" fontId="1" fillId="4" borderId="31" xfId="0" applyFont="1" applyFill="1" applyBorder="1" applyAlignment="1">
      <alignment horizontal="center" vertical="center" shrinkToFit="1"/>
    </xf>
    <xf numFmtId="0" fontId="15" fillId="8" borderId="18" xfId="1" applyFont="1" applyFill="1" applyBorder="1" applyAlignment="1">
      <alignment horizontal="left" vertical="center" wrapText="1"/>
    </xf>
    <xf numFmtId="0" fontId="3" fillId="8" borderId="19" xfId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20" fontId="3" fillId="8" borderId="19" xfId="1" applyNumberFormat="1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wrapText="1"/>
    </xf>
    <xf numFmtId="0" fontId="3" fillId="8" borderId="14" xfId="1" applyFont="1" applyFill="1" applyBorder="1" applyAlignment="1">
      <alignment horizontal="left" vertical="center" wrapText="1"/>
    </xf>
    <xf numFmtId="0" fontId="3" fillId="8" borderId="15" xfId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10" fillId="8" borderId="22" xfId="0" applyFont="1" applyFill="1" applyBorder="1" applyAlignment="1">
      <alignment horizontal="center" wrapText="1"/>
    </xf>
    <xf numFmtId="0" fontId="3" fillId="8" borderId="22" xfId="0" applyFont="1" applyFill="1" applyBorder="1" applyAlignment="1">
      <alignment horizontal="center" wrapText="1"/>
    </xf>
    <xf numFmtId="0" fontId="17" fillId="8" borderId="21" xfId="1" applyFont="1" applyFill="1" applyBorder="1" applyAlignment="1">
      <alignment horizontal="left" vertical="center" wrapText="1"/>
    </xf>
    <xf numFmtId="0" fontId="15" fillId="8" borderId="9" xfId="1" applyFont="1" applyFill="1" applyBorder="1" applyAlignment="1">
      <alignment horizontal="center" vertical="center" wrapText="1"/>
    </xf>
    <xf numFmtId="0" fontId="15" fillId="8" borderId="9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20" fontId="15" fillId="8" borderId="6" xfId="1" applyNumberFormat="1" applyFont="1" applyFill="1" applyBorder="1" applyAlignment="1">
      <alignment horizontal="center" vertical="center" wrapText="1"/>
    </xf>
    <xf numFmtId="164" fontId="3" fillId="13" borderId="48" xfId="0" applyNumberFormat="1" applyFont="1" applyFill="1" applyBorder="1" applyAlignment="1">
      <alignment horizontal="right" vertical="center" wrapText="1" shrinkToFit="1"/>
    </xf>
    <xf numFmtId="0" fontId="4" fillId="13" borderId="49" xfId="0" applyFont="1" applyFill="1" applyBorder="1" applyAlignment="1">
      <alignment horizontal="right" vertical="center" wrapText="1" shrinkToFit="1"/>
    </xf>
    <xf numFmtId="0" fontId="4" fillId="13" borderId="50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164" fontId="3" fillId="0" borderId="32" xfId="0" applyNumberFormat="1" applyFont="1" applyBorder="1" applyAlignment="1">
      <alignment horizontal="right" vertical="center" wrapText="1" shrinkToFit="1"/>
    </xf>
    <xf numFmtId="0" fontId="4" fillId="0" borderId="33" xfId="0" applyFont="1" applyBorder="1" applyAlignment="1">
      <alignment horizontal="right" vertical="center" wrapText="1" shrinkToFit="1"/>
    </xf>
    <xf numFmtId="0" fontId="4" fillId="0" borderId="40" xfId="0" applyFont="1" applyBorder="1" applyAlignment="1">
      <alignment horizontal="right" vertical="center" wrapText="1" shrinkToFi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41" xfId="0" applyNumberFormat="1" applyFont="1" applyFill="1" applyBorder="1" applyAlignment="1">
      <alignment horizontal="center" vertical="center"/>
    </xf>
    <xf numFmtId="164" fontId="13" fillId="6" borderId="4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13" borderId="32" xfId="0" applyNumberFormat="1" applyFont="1" applyFill="1" applyBorder="1" applyAlignment="1">
      <alignment horizontal="right" vertical="center" wrapText="1" shrinkToFit="1"/>
    </xf>
    <xf numFmtId="0" fontId="4" fillId="13" borderId="33" xfId="0" applyFont="1" applyFill="1" applyBorder="1" applyAlignment="1">
      <alignment horizontal="right" vertical="center" wrapText="1" shrinkToFit="1"/>
    </xf>
    <xf numFmtId="0" fontId="4" fillId="13" borderId="40" xfId="0" applyFont="1" applyFill="1" applyBorder="1" applyAlignment="1">
      <alignment horizontal="right" vertical="center" wrapText="1" shrinkToFi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 wrapText="1" shrinkToFit="1"/>
    </xf>
    <xf numFmtId="0" fontId="4" fillId="0" borderId="23" xfId="0" applyFont="1" applyBorder="1" applyAlignment="1">
      <alignment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/>
    </xf>
    <xf numFmtId="0" fontId="0" fillId="0" borderId="38" xfId="0" applyBorder="1"/>
    <xf numFmtId="0" fontId="0" fillId="0" borderId="26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4" fillId="0" borderId="5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5" xfId="0" applyFont="1" applyFill="1" applyBorder="1"/>
    <xf numFmtId="0" fontId="4" fillId="15" borderId="37" xfId="0" applyFont="1" applyFill="1" applyBorder="1"/>
    <xf numFmtId="0" fontId="1" fillId="3" borderId="3" xfId="0" applyFont="1" applyFill="1" applyBorder="1"/>
    <xf numFmtId="0" fontId="4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14" fontId="1" fillId="15" borderId="35" xfId="0" applyNumberFormat="1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  <xf numFmtId="0" fontId="18" fillId="9" borderId="21" xfId="1" applyFont="1" applyFill="1" applyBorder="1" applyAlignment="1">
      <alignment horizontal="left" vertical="center" wrapText="1"/>
    </xf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5"/>
  <sheetViews>
    <sheetView windowProtection="1" tabSelected="1" zoomScaleNormal="100" workbookViewId="0">
      <pane ySplit="6" topLeftCell="A7" activePane="bottomLeft" state="frozen"/>
      <selection pane="bottomLeft" activeCell="A13" sqref="A13"/>
    </sheetView>
  </sheetViews>
  <sheetFormatPr defaultRowHeight="15" x14ac:dyDescent="0.25"/>
  <cols>
    <col min="1" max="1" width="13" style="2" customWidth="1"/>
    <col min="2" max="2" width="17" style="2" customWidth="1"/>
    <col min="3" max="3" width="14.42578125" style="2" bestFit="1" customWidth="1"/>
    <col min="4" max="4" width="9.7109375" style="2" bestFit="1" customWidth="1"/>
    <col min="5" max="5" width="6.5703125" style="2" customWidth="1"/>
    <col min="6" max="6" width="8.7109375" style="2" bestFit="1" customWidth="1"/>
    <col min="7" max="7" width="10.5703125" style="2" customWidth="1"/>
    <col min="8" max="8" width="8.5703125" style="2" bestFit="1" customWidth="1"/>
    <col min="9" max="9" width="6.28515625" style="2" bestFit="1" customWidth="1"/>
    <col min="10" max="10" width="8.7109375" style="2" customWidth="1"/>
    <col min="11" max="11" width="6.5703125" style="2" customWidth="1"/>
    <col min="12" max="12" width="9.28515625" style="80" customWidth="1"/>
    <col min="13" max="13" width="9.85546875" style="80" customWidth="1"/>
    <col min="14" max="14" width="8.140625" style="80" customWidth="1"/>
    <col min="15" max="15" width="10.28515625" style="80" customWidth="1"/>
    <col min="16" max="16" width="13.42578125" style="2" customWidth="1"/>
  </cols>
  <sheetData>
    <row r="1" spans="1:17" ht="18" customHeight="1" thickBot="1" x14ac:dyDescent="0.3">
      <c r="A1" s="69" t="s">
        <v>33</v>
      </c>
      <c r="B1" s="276"/>
      <c r="C1" s="277"/>
      <c r="D1" s="69" t="s">
        <v>62</v>
      </c>
      <c r="E1" s="193"/>
      <c r="F1" s="194"/>
      <c r="G1" s="194"/>
      <c r="H1" s="293" t="s">
        <v>32</v>
      </c>
      <c r="I1" s="294"/>
      <c r="J1" s="295"/>
      <c r="K1" s="296"/>
      <c r="L1" s="297"/>
      <c r="M1" s="298" t="s">
        <v>60</v>
      </c>
      <c r="N1" s="299"/>
      <c r="O1" s="300"/>
      <c r="P1" s="301"/>
    </row>
    <row r="2" spans="1:17" ht="18" customHeight="1" thickBot="1" x14ac:dyDescent="0.3">
      <c r="A2" s="70"/>
      <c r="B2" s="70"/>
      <c r="C2" s="71"/>
      <c r="D2" s="81" t="s">
        <v>63</v>
      </c>
      <c r="E2" s="305"/>
      <c r="F2" s="306"/>
      <c r="G2" s="307"/>
      <c r="H2" s="70"/>
      <c r="I2" s="71"/>
      <c r="J2" s="71"/>
      <c r="K2" s="35"/>
      <c r="L2" s="35"/>
      <c r="M2" s="72" t="s">
        <v>59</v>
      </c>
      <c r="N2" s="73"/>
      <c r="O2" s="302"/>
      <c r="P2" s="297"/>
    </row>
    <row r="3" spans="1:17" ht="18" customHeight="1" thickBot="1" x14ac:dyDescent="0.3">
      <c r="A3" s="285"/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287"/>
      <c r="M3" s="312" t="s">
        <v>61</v>
      </c>
      <c r="N3" s="299"/>
      <c r="O3" s="310"/>
      <c r="P3" s="311"/>
    </row>
    <row r="4" spans="1:17" ht="15.75" thickBot="1" x14ac:dyDescent="0.3">
      <c r="A4" s="308" t="s">
        <v>64</v>
      </c>
      <c r="B4" s="308"/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</row>
    <row r="5" spans="1:17" ht="15.75" hidden="1" thickBot="1" x14ac:dyDescent="0.3">
      <c r="A5" s="308"/>
      <c r="B5" s="308"/>
      <c r="C5" s="308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8"/>
      <c r="P5" s="308"/>
    </row>
    <row r="6" spans="1:17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7" ht="6.75" customHeight="1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7" ht="18" customHeight="1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7" s="1" customFormat="1" ht="153" x14ac:dyDescent="0.25">
      <c r="A9" s="250" t="s">
        <v>78</v>
      </c>
      <c r="B9" s="251" t="s">
        <v>75</v>
      </c>
      <c r="C9" s="252" t="s">
        <v>75</v>
      </c>
      <c r="D9" s="252"/>
      <c r="E9" s="252"/>
      <c r="F9" s="252"/>
      <c r="G9" s="252"/>
      <c r="H9" s="252"/>
      <c r="I9" s="252"/>
      <c r="J9" s="252" t="s">
        <v>75</v>
      </c>
      <c r="K9" s="253" t="s">
        <v>75</v>
      </c>
      <c r="L9" s="252"/>
      <c r="M9" s="251" t="s">
        <v>76</v>
      </c>
      <c r="N9" s="254" t="s">
        <v>77</v>
      </c>
      <c r="O9" s="254"/>
      <c r="P9" s="249" t="s">
        <v>102</v>
      </c>
      <c r="Q9" s="6"/>
    </row>
    <row r="10" spans="1:17" x14ac:dyDescent="0.25">
      <c r="A10" s="247"/>
      <c r="B10" s="127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7"/>
      <c r="N10" s="129"/>
      <c r="O10" s="129"/>
      <c r="P10" s="248"/>
    </row>
    <row r="11" spans="1:17" ht="39" x14ac:dyDescent="0.25">
      <c r="A11" s="111" t="s">
        <v>98</v>
      </c>
      <c r="B11" s="101" t="s">
        <v>94</v>
      </c>
      <c r="C11" s="102"/>
      <c r="D11" s="102"/>
      <c r="E11" s="102"/>
      <c r="F11" s="102"/>
      <c r="G11" s="102"/>
      <c r="H11" s="102"/>
      <c r="I11" s="102"/>
      <c r="J11" s="102" t="s">
        <v>90</v>
      </c>
      <c r="K11" s="102" t="s">
        <v>81</v>
      </c>
      <c r="L11" s="102" t="s">
        <v>99</v>
      </c>
      <c r="M11" s="101" t="s">
        <v>100</v>
      </c>
      <c r="N11" s="103" t="s">
        <v>94</v>
      </c>
      <c r="O11" s="103"/>
      <c r="P11" s="104" t="s">
        <v>101</v>
      </c>
    </row>
    <row r="12" spans="1:17" ht="26.25" x14ac:dyDescent="0.25">
      <c r="A12" s="105" t="s">
        <v>74</v>
      </c>
      <c r="B12" s="106"/>
      <c r="C12" s="107"/>
      <c r="D12" s="107">
        <v>54</v>
      </c>
      <c r="E12" s="107">
        <v>2</v>
      </c>
      <c r="F12" s="107"/>
      <c r="G12" s="107"/>
      <c r="H12" s="107"/>
      <c r="I12" s="107"/>
      <c r="J12" s="107" t="s">
        <v>69</v>
      </c>
      <c r="K12" s="107" t="s">
        <v>70</v>
      </c>
      <c r="L12" s="107" t="s">
        <v>71</v>
      </c>
      <c r="M12" s="106" t="s">
        <v>72</v>
      </c>
      <c r="N12" s="108"/>
      <c r="O12" s="108"/>
      <c r="P12" s="109" t="s">
        <v>73</v>
      </c>
      <c r="Q12" t="s">
        <v>103</v>
      </c>
    </row>
    <row r="13" spans="1:17" ht="26.25" x14ac:dyDescent="0.25">
      <c r="A13" s="325" t="s">
        <v>80</v>
      </c>
      <c r="B13" s="101" t="s">
        <v>75</v>
      </c>
      <c r="C13" s="102" t="s">
        <v>79</v>
      </c>
      <c r="D13" s="102">
        <v>20</v>
      </c>
      <c r="E13" s="102"/>
      <c r="F13" s="102"/>
      <c r="G13" s="102"/>
      <c r="H13" s="102"/>
      <c r="I13" s="102"/>
      <c r="J13" s="102" t="s">
        <v>75</v>
      </c>
      <c r="K13" s="102" t="s">
        <v>81</v>
      </c>
      <c r="L13" s="102" t="s">
        <v>82</v>
      </c>
      <c r="M13" s="101" t="s">
        <v>83</v>
      </c>
      <c r="N13" s="103" t="s">
        <v>84</v>
      </c>
      <c r="O13" s="103" t="s">
        <v>86</v>
      </c>
      <c r="P13" s="104" t="s">
        <v>85</v>
      </c>
    </row>
    <row r="14" spans="1:17" ht="26.25" x14ac:dyDescent="0.25">
      <c r="A14" s="110" t="s">
        <v>87</v>
      </c>
      <c r="B14" s="101" t="s">
        <v>89</v>
      </c>
      <c r="C14" s="102" t="s">
        <v>88</v>
      </c>
      <c r="D14" s="102">
        <v>2</v>
      </c>
      <c r="E14" s="102"/>
      <c r="F14" s="102"/>
      <c r="G14" s="102"/>
      <c r="H14" s="102"/>
      <c r="I14" s="102"/>
      <c r="J14" s="102" t="s">
        <v>90</v>
      </c>
      <c r="K14" s="102" t="s">
        <v>81</v>
      </c>
      <c r="L14" s="102"/>
      <c r="M14" s="101" t="s">
        <v>91</v>
      </c>
      <c r="N14" s="103" t="s">
        <v>93</v>
      </c>
      <c r="O14" s="103"/>
      <c r="P14" s="104" t="s">
        <v>92</v>
      </c>
    </row>
    <row r="15" spans="1:17" ht="25.5" x14ac:dyDescent="0.25">
      <c r="A15" s="110" t="s">
        <v>87</v>
      </c>
      <c r="B15" s="101" t="s">
        <v>94</v>
      </c>
      <c r="C15" s="102" t="s">
        <v>95</v>
      </c>
      <c r="D15" s="102">
        <v>1</v>
      </c>
      <c r="E15" s="102"/>
      <c r="F15" s="102"/>
      <c r="G15" s="102"/>
      <c r="H15" s="102"/>
      <c r="I15" s="102"/>
      <c r="J15" s="102" t="s">
        <v>96</v>
      </c>
      <c r="K15" s="102" t="s">
        <v>81</v>
      </c>
      <c r="L15" s="102"/>
      <c r="M15" s="101" t="s">
        <v>91</v>
      </c>
      <c r="N15" s="103" t="s">
        <v>94</v>
      </c>
      <c r="O15" s="103"/>
      <c r="P15" s="104" t="s">
        <v>97</v>
      </c>
    </row>
    <row r="16" spans="1:17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7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7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7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7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  <c r="Q20" s="2"/>
    </row>
    <row r="21" spans="1:17" s="3" customFormat="1" ht="16.5" customHeight="1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7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7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7" s="3" customFormat="1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7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7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7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7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7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7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7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7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25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25" s="3" customFormat="1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25" ht="21.75" customHeight="1" thickBot="1" x14ac:dyDescent="0.3">
      <c r="A35" s="66"/>
      <c r="B35" s="66"/>
      <c r="C35" s="67"/>
      <c r="D35" s="174">
        <f>SUM(D10:D34)</f>
        <v>77</v>
      </c>
      <c r="E35" s="174">
        <f>SUM(E10:E34)</f>
        <v>2</v>
      </c>
      <c r="F35" s="175"/>
      <c r="G35" s="176">
        <f>SUM(G10:G34)</f>
        <v>0</v>
      </c>
      <c r="H35" s="172">
        <f>SUM(H10:H34)</f>
        <v>0</v>
      </c>
      <c r="I35" s="173">
        <f>SUM(I10:I34)</f>
        <v>0</v>
      </c>
      <c r="J35" s="63"/>
      <c r="K35" s="68"/>
      <c r="L35" s="68"/>
      <c r="M35" s="63"/>
      <c r="N35" s="63"/>
      <c r="O35" s="63"/>
      <c r="P35" s="35"/>
    </row>
    <row r="36" spans="1:25" ht="18.75" customHeight="1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25" ht="15.75" thickBot="1" x14ac:dyDescent="0.3">
      <c r="A37" s="75"/>
      <c r="B37" s="192" t="s">
        <v>42</v>
      </c>
      <c r="C37" s="283" t="s">
        <v>41</v>
      </c>
      <c r="D37" s="284"/>
      <c r="E37" s="288" t="s">
        <v>45</v>
      </c>
      <c r="F37" s="289"/>
      <c r="G37" s="290"/>
      <c r="H37" s="7"/>
      <c r="I37" s="8"/>
      <c r="J37" s="74"/>
      <c r="K37" s="74"/>
      <c r="L37" s="74"/>
      <c r="M37" s="74"/>
      <c r="N37" s="74"/>
      <c r="O37" s="74"/>
      <c r="P37" s="35"/>
    </row>
    <row r="38" spans="1:25" ht="96.75" customHeight="1" x14ac:dyDescent="0.25">
      <c r="A38" s="191" t="s">
        <v>35</v>
      </c>
      <c r="B38" s="12"/>
      <c r="C38" s="309"/>
      <c r="D38" s="309"/>
      <c r="E38" s="273">
        <v>0</v>
      </c>
      <c r="F38" s="274"/>
      <c r="G38" s="275"/>
      <c r="H38" s="61"/>
      <c r="I38" s="62"/>
      <c r="J38" s="35"/>
      <c r="K38" s="35"/>
      <c r="L38" s="35"/>
      <c r="M38" s="35"/>
      <c r="N38" s="35"/>
      <c r="O38" s="35"/>
      <c r="P38" s="35"/>
    </row>
    <row r="39" spans="1:25" s="3" customFormat="1" x14ac:dyDescent="0.25">
      <c r="A39" s="186" t="s">
        <v>31</v>
      </c>
      <c r="B39" s="9"/>
      <c r="C39" s="316"/>
      <c r="D39" s="316"/>
      <c r="E39" s="273">
        <v>0</v>
      </c>
      <c r="F39" s="274"/>
      <c r="G39" s="275"/>
      <c r="H39" s="61"/>
      <c r="I39" s="62"/>
      <c r="J39" s="62"/>
      <c r="K39" s="62"/>
      <c r="L39" s="62"/>
      <c r="M39" s="62"/>
      <c r="N39" s="62"/>
      <c r="O39" s="62"/>
      <c r="P39" s="62"/>
      <c r="R39" s="47"/>
      <c r="S39" s="47"/>
      <c r="T39" s="47"/>
      <c r="U39" s="47"/>
      <c r="V39" s="47"/>
      <c r="W39" s="47"/>
      <c r="X39" s="47"/>
      <c r="Y39" s="47"/>
    </row>
    <row r="40" spans="1:25" x14ac:dyDescent="0.25">
      <c r="A40" s="186" t="s">
        <v>36</v>
      </c>
      <c r="B40" s="10"/>
      <c r="C40" s="317"/>
      <c r="D40" s="317"/>
      <c r="E40" s="273">
        <v>0</v>
      </c>
      <c r="F40" s="274"/>
      <c r="G40" s="275"/>
      <c r="H40" s="61"/>
      <c r="I40" s="291"/>
      <c r="J40" s="291"/>
      <c r="K40" s="291"/>
      <c r="L40" s="291"/>
      <c r="M40" s="291"/>
      <c r="N40" s="291"/>
      <c r="O40" s="291"/>
      <c r="P40" s="35"/>
      <c r="R40" s="48"/>
      <c r="S40" s="48"/>
      <c r="T40" s="48"/>
      <c r="U40" s="48"/>
      <c r="V40" s="48"/>
      <c r="W40" s="48"/>
      <c r="X40" s="48"/>
      <c r="Y40" s="48"/>
    </row>
    <row r="41" spans="1:25" ht="66" customHeight="1" x14ac:dyDescent="0.25">
      <c r="A41" s="186" t="s">
        <v>37</v>
      </c>
      <c r="B41" s="10"/>
      <c r="C41" s="316"/>
      <c r="D41" s="316"/>
      <c r="E41" s="273">
        <v>0</v>
      </c>
      <c r="F41" s="274"/>
      <c r="G41" s="275"/>
      <c r="H41" s="61"/>
      <c r="I41" s="292"/>
      <c r="J41" s="292"/>
      <c r="K41" s="292"/>
      <c r="L41" s="292"/>
      <c r="M41" s="292"/>
      <c r="N41" s="292"/>
      <c r="O41" s="292"/>
      <c r="P41" s="35"/>
      <c r="R41" s="48"/>
      <c r="S41" s="48"/>
      <c r="T41" s="48"/>
      <c r="U41" s="48"/>
      <c r="V41" s="48"/>
      <c r="W41" s="48"/>
      <c r="X41" s="48"/>
      <c r="Y41" s="48"/>
    </row>
    <row r="42" spans="1:25" ht="18" customHeight="1" x14ac:dyDescent="0.25">
      <c r="A42" s="186" t="s">
        <v>38</v>
      </c>
      <c r="B42" s="10"/>
      <c r="C42" s="280"/>
      <c r="D42" s="282"/>
      <c r="E42" s="261"/>
      <c r="F42" s="262"/>
      <c r="G42" s="263"/>
      <c r="H42" s="61"/>
      <c r="I42" s="292"/>
      <c r="J42" s="292"/>
      <c r="K42" s="292"/>
      <c r="L42" s="292"/>
      <c r="M42" s="292"/>
      <c r="N42" s="292"/>
      <c r="O42" s="292"/>
      <c r="P42" s="35"/>
      <c r="R42" s="304"/>
      <c r="S42" s="304"/>
      <c r="T42" s="304"/>
      <c r="U42" s="304"/>
      <c r="V42" s="304"/>
      <c r="W42" s="304"/>
      <c r="X42" s="304"/>
      <c r="Y42" s="304"/>
    </row>
    <row r="43" spans="1:25" ht="43.5" customHeight="1" x14ac:dyDescent="0.25">
      <c r="A43" s="186" t="s">
        <v>40</v>
      </c>
      <c r="B43" s="10"/>
      <c r="C43" s="280"/>
      <c r="D43" s="281"/>
      <c r="E43" s="261"/>
      <c r="F43" s="262"/>
      <c r="G43" s="263"/>
      <c r="H43" s="61"/>
      <c r="I43" s="292"/>
      <c r="J43" s="292"/>
      <c r="K43" s="292"/>
      <c r="L43" s="292"/>
      <c r="M43" s="292"/>
      <c r="N43" s="292"/>
      <c r="O43" s="292"/>
      <c r="P43" s="35"/>
      <c r="R43" s="49"/>
      <c r="S43" s="50"/>
      <c r="T43" s="50"/>
      <c r="U43" s="50"/>
      <c r="V43" s="50"/>
      <c r="W43" s="50"/>
      <c r="X43" s="50"/>
      <c r="Y43" s="50"/>
    </row>
    <row r="44" spans="1:25" s="3" customFormat="1" ht="45.75" customHeight="1" x14ac:dyDescent="0.25">
      <c r="A44" s="186" t="s">
        <v>39</v>
      </c>
      <c r="B44" s="10"/>
      <c r="C44" s="278"/>
      <c r="D44" s="279"/>
      <c r="E44" s="261"/>
      <c r="F44" s="262"/>
      <c r="G44" s="263"/>
      <c r="H44" s="61"/>
      <c r="I44" s="62"/>
      <c r="J44" s="62"/>
      <c r="K44" s="62"/>
      <c r="L44" s="62"/>
      <c r="M44" s="62"/>
      <c r="N44" s="62"/>
      <c r="O44" s="62"/>
      <c r="P44" s="62"/>
      <c r="R44" s="51"/>
      <c r="S44" s="52"/>
      <c r="T44" s="52"/>
      <c r="U44" s="53"/>
      <c r="V44" s="54"/>
      <c r="W44" s="55"/>
      <c r="X44" s="56"/>
      <c r="Y44" s="303"/>
    </row>
    <row r="45" spans="1:25" x14ac:dyDescent="0.25">
      <c r="A45" s="186" t="s">
        <v>43</v>
      </c>
      <c r="B45" s="10"/>
      <c r="C45" s="313"/>
      <c r="D45" s="313"/>
      <c r="E45" s="273">
        <f>M52</f>
        <v>0</v>
      </c>
      <c r="F45" s="274"/>
      <c r="G45" s="275"/>
      <c r="H45" s="61"/>
      <c r="I45" s="61"/>
      <c r="J45" s="35"/>
      <c r="K45" s="35"/>
      <c r="L45" s="35"/>
      <c r="M45" s="35"/>
      <c r="N45" s="35"/>
      <c r="O45" s="35"/>
      <c r="P45" s="35"/>
      <c r="R45" s="51"/>
      <c r="S45" s="49"/>
      <c r="T45" s="49"/>
      <c r="U45" s="57"/>
      <c r="V45" s="58"/>
      <c r="W45" s="59"/>
      <c r="X45" s="60"/>
      <c r="Y45" s="303"/>
    </row>
    <row r="46" spans="1:25" x14ac:dyDescent="0.25">
      <c r="A46" s="186" t="s">
        <v>19</v>
      </c>
      <c r="B46" s="10"/>
      <c r="C46" s="314"/>
      <c r="D46" s="314"/>
      <c r="E46" s="273">
        <f t="shared" ref="E46:E47" si="0">M53</f>
        <v>0</v>
      </c>
      <c r="F46" s="274"/>
      <c r="G46" s="275"/>
      <c r="H46" s="61"/>
      <c r="I46" s="61"/>
      <c r="J46" s="61"/>
      <c r="K46" s="61"/>
      <c r="L46" s="63"/>
      <c r="M46" s="63"/>
      <c r="N46" s="63"/>
      <c r="O46" s="63"/>
      <c r="P46" s="35"/>
      <c r="R46" s="51"/>
      <c r="S46" s="52"/>
      <c r="T46" s="52"/>
      <c r="U46" s="53"/>
      <c r="V46" s="54"/>
      <c r="W46" s="55"/>
      <c r="X46" s="56"/>
      <c r="Y46" s="303"/>
    </row>
    <row r="47" spans="1:25" ht="15.75" thickBot="1" x14ac:dyDescent="0.3">
      <c r="A47" s="187" t="s">
        <v>44</v>
      </c>
      <c r="B47" s="11"/>
      <c r="C47" s="315"/>
      <c r="D47" s="315"/>
      <c r="E47" s="255">
        <f t="shared" si="0"/>
        <v>0</v>
      </c>
      <c r="F47" s="256"/>
      <c r="G47" s="257"/>
      <c r="H47" s="61"/>
      <c r="I47" s="61"/>
      <c r="J47" s="61"/>
      <c r="K47" s="61"/>
      <c r="L47" s="63"/>
      <c r="M47" s="63"/>
      <c r="N47" s="63"/>
      <c r="O47" s="63"/>
      <c r="P47" s="35"/>
      <c r="R47" s="51"/>
      <c r="S47" s="49"/>
      <c r="T47" s="49"/>
      <c r="U47" s="57"/>
      <c r="V47" s="58"/>
      <c r="W47" s="59"/>
      <c r="X47" s="60"/>
      <c r="Y47" s="303"/>
    </row>
    <row r="48" spans="1:25" ht="24" customHeight="1" thickBot="1" x14ac:dyDescent="0.3">
      <c r="A48" s="65"/>
      <c r="B48" s="65"/>
      <c r="C48" s="65"/>
      <c r="D48" s="206" t="s">
        <v>46</v>
      </c>
      <c r="E48" s="258">
        <f>SUM(E38:E47)</f>
        <v>0</v>
      </c>
      <c r="F48" s="259"/>
      <c r="G48" s="260"/>
      <c r="H48" s="64"/>
      <c r="I48" s="64"/>
      <c r="J48" s="61"/>
      <c r="K48" s="61"/>
      <c r="L48" s="63"/>
      <c r="M48" s="63"/>
      <c r="N48" s="63"/>
      <c r="O48" s="63"/>
      <c r="P48" s="35"/>
      <c r="Q48" s="15"/>
      <c r="R48" s="14"/>
      <c r="S48" s="13"/>
      <c r="V48" s="4"/>
      <c r="W48" s="4"/>
      <c r="X48" s="5"/>
      <c r="Y48" s="5"/>
    </row>
    <row r="49" spans="1:27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  <c r="Q49" s="15"/>
      <c r="R49" s="15"/>
      <c r="S49" s="15"/>
    </row>
    <row r="50" spans="1:27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7" t="s">
        <v>57</v>
      </c>
      <c r="G50" s="268"/>
      <c r="H50" s="268"/>
      <c r="I50" s="268"/>
      <c r="J50" s="268"/>
      <c r="K50" s="268"/>
      <c r="L50" s="268"/>
      <c r="M50" s="269"/>
      <c r="N50" s="27"/>
      <c r="O50" s="27"/>
      <c r="P50" s="16"/>
      <c r="Q50" s="17"/>
      <c r="R50" s="17"/>
      <c r="S50" s="17"/>
      <c r="U50" s="15"/>
      <c r="V50" s="15"/>
      <c r="W50" s="15"/>
      <c r="X50" s="15"/>
      <c r="Y50" s="15"/>
      <c r="Z50" s="15"/>
      <c r="AA50" s="15"/>
    </row>
    <row r="51" spans="1:27" ht="26.25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  <c r="Q51" s="19"/>
      <c r="R51" s="20"/>
      <c r="S51" s="19"/>
      <c r="U51" s="264"/>
      <c r="V51" s="264"/>
      <c r="W51" s="264"/>
      <c r="X51" s="264"/>
      <c r="Y51" s="264"/>
      <c r="Z51" s="264"/>
      <c r="AA51" s="264"/>
    </row>
    <row r="52" spans="1:27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70"/>
      <c r="N52" s="16"/>
      <c r="O52" s="16"/>
      <c r="P52" s="16"/>
      <c r="Q52" s="19"/>
      <c r="R52" s="20"/>
      <c r="S52" s="19"/>
      <c r="U52" s="265"/>
      <c r="V52" s="265"/>
      <c r="W52" s="265"/>
      <c r="X52" s="265"/>
      <c r="Y52" s="265"/>
      <c r="Z52" s="265"/>
      <c r="AA52" s="265"/>
    </row>
    <row r="53" spans="1:27" ht="15.75" customHeight="1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71"/>
      <c r="N53" s="26"/>
      <c r="O53" s="26"/>
      <c r="P53" s="26"/>
      <c r="Q53" s="19"/>
      <c r="R53" s="20"/>
      <c r="S53" s="19"/>
      <c r="U53" s="265"/>
      <c r="V53" s="265"/>
      <c r="W53" s="265"/>
      <c r="X53" s="265"/>
      <c r="Y53" s="265"/>
      <c r="Z53" s="265"/>
      <c r="AA53" s="265"/>
    </row>
    <row r="54" spans="1:27" ht="15" customHeight="1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72"/>
      <c r="N54" s="34"/>
      <c r="O54" s="266"/>
      <c r="P54" s="266"/>
      <c r="Q54" s="19"/>
      <c r="R54" s="20"/>
      <c r="S54" s="19"/>
      <c r="U54" s="265"/>
      <c r="V54" s="265"/>
      <c r="W54" s="265"/>
      <c r="X54" s="265"/>
      <c r="Y54" s="265"/>
      <c r="Z54" s="265"/>
      <c r="AA54" s="265"/>
    </row>
    <row r="55" spans="1:27" ht="15.75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72"/>
      <c r="N55" s="34"/>
      <c r="O55" s="266"/>
      <c r="P55" s="266"/>
      <c r="Q55" s="21"/>
      <c r="R55" s="20"/>
      <c r="S55" s="19"/>
    </row>
    <row r="56" spans="1:27" ht="15.75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  <c r="Q56" s="22"/>
      <c r="R56" s="23"/>
      <c r="S56" s="22"/>
    </row>
    <row r="57" spans="1:27" ht="15.75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  <c r="Q57" s="24"/>
      <c r="R57" s="25"/>
      <c r="S57" s="24"/>
    </row>
    <row r="58" spans="1:27" ht="27" customHeight="1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  <c r="Q58" s="24"/>
      <c r="R58" s="25"/>
      <c r="S58" s="24"/>
    </row>
    <row r="59" spans="1:27" ht="21.75" customHeight="1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  <c r="Q59" s="24"/>
      <c r="R59" s="25"/>
      <c r="S59" s="24"/>
    </row>
    <row r="60" spans="1:27" ht="21.75" customHeight="1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  <c r="Q60" s="24"/>
      <c r="R60" s="25"/>
      <c r="S60" s="24"/>
    </row>
    <row r="61" spans="1:27" x14ac:dyDescent="0.25">
      <c r="E61" s="35"/>
      <c r="F61" s="35"/>
      <c r="G61" s="35"/>
      <c r="H61" s="35"/>
      <c r="I61" s="35"/>
      <c r="J61" s="35"/>
      <c r="K61" s="35"/>
      <c r="L61" s="79"/>
      <c r="M61" s="79"/>
      <c r="N61" s="79"/>
      <c r="O61" s="79"/>
      <c r="P61" s="35"/>
      <c r="Q61" s="15"/>
      <c r="R61" s="15"/>
      <c r="S61" s="15"/>
    </row>
    <row r="62" spans="1:27" x14ac:dyDescent="0.25">
      <c r="E62" s="35"/>
      <c r="F62" s="35"/>
      <c r="G62" s="35"/>
      <c r="H62" s="35"/>
      <c r="I62" s="35"/>
      <c r="J62" s="35"/>
      <c r="K62" s="35"/>
      <c r="L62" s="79"/>
      <c r="M62" s="79"/>
      <c r="N62" s="79"/>
      <c r="O62" s="79"/>
    </row>
    <row r="65" ht="37.5" customHeight="1" x14ac:dyDescent="0.25"/>
  </sheetData>
  <mergeCells count="46">
    <mergeCell ref="C45:D45"/>
    <mergeCell ref="C46:D46"/>
    <mergeCell ref="C47:D47"/>
    <mergeCell ref="C39:D39"/>
    <mergeCell ref="C40:D40"/>
    <mergeCell ref="C41:D41"/>
    <mergeCell ref="E2:G2"/>
    <mergeCell ref="A4:P5"/>
    <mergeCell ref="C38:D38"/>
    <mergeCell ref="O3:P3"/>
    <mergeCell ref="M3:N3"/>
    <mergeCell ref="J1:L1"/>
    <mergeCell ref="M1:N1"/>
    <mergeCell ref="O1:P1"/>
    <mergeCell ref="O2:P2"/>
    <mergeCell ref="Y46:Y47"/>
    <mergeCell ref="Y44:Y45"/>
    <mergeCell ref="R42:Y42"/>
    <mergeCell ref="B1:C1"/>
    <mergeCell ref="C44:D44"/>
    <mergeCell ref="C43:D43"/>
    <mergeCell ref="C42:D42"/>
    <mergeCell ref="C37:D37"/>
    <mergeCell ref="A3:L3"/>
    <mergeCell ref="E37:G37"/>
    <mergeCell ref="E38:G38"/>
    <mergeCell ref="E40:G40"/>
    <mergeCell ref="E39:G39"/>
    <mergeCell ref="I40:O40"/>
    <mergeCell ref="I41:O43"/>
    <mergeCell ref="E41:G41"/>
    <mergeCell ref="E42:G42"/>
    <mergeCell ref="E44:G44"/>
    <mergeCell ref="H1:I1"/>
    <mergeCell ref="E47:G47"/>
    <mergeCell ref="E48:G48"/>
    <mergeCell ref="E43:G43"/>
    <mergeCell ref="U51:AA51"/>
    <mergeCell ref="U52:AA54"/>
    <mergeCell ref="O54:O55"/>
    <mergeCell ref="P54:P55"/>
    <mergeCell ref="F50:M50"/>
    <mergeCell ref="M52:M53"/>
    <mergeCell ref="M54:M55"/>
    <mergeCell ref="E45:G45"/>
    <mergeCell ref="E46:G46"/>
  </mergeCells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windowProtection="1" workbookViewId="0">
      <selection activeCell="R6" sqref="R6"/>
    </sheetView>
  </sheetViews>
  <sheetFormatPr defaultRowHeight="15" x14ac:dyDescent="0.25"/>
  <sheetData>
    <row r="1" spans="1:16" ht="15.75" thickBot="1" x14ac:dyDescent="0.3">
      <c r="A1" s="69" t="s">
        <v>33</v>
      </c>
      <c r="B1" s="276"/>
      <c r="C1" s="277"/>
      <c r="D1" s="69" t="s">
        <v>62</v>
      </c>
      <c r="E1" s="193"/>
      <c r="F1" s="194"/>
      <c r="G1" s="194"/>
      <c r="H1" s="293" t="s">
        <v>32</v>
      </c>
      <c r="I1" s="294"/>
      <c r="J1" s="295"/>
      <c r="K1" s="296"/>
      <c r="L1" s="297"/>
      <c r="M1" s="298" t="s">
        <v>60</v>
      </c>
      <c r="N1" s="299"/>
      <c r="O1" s="300"/>
      <c r="P1" s="301"/>
    </row>
    <row r="2" spans="1:16" ht="15.75" thickBot="1" x14ac:dyDescent="0.3">
      <c r="A2" s="70"/>
      <c r="B2" s="70"/>
      <c r="C2" s="71"/>
      <c r="D2" s="81" t="s">
        <v>63</v>
      </c>
      <c r="E2" s="305"/>
      <c r="F2" s="306"/>
      <c r="G2" s="307"/>
      <c r="H2" s="70"/>
      <c r="I2" s="71"/>
      <c r="J2" s="71"/>
      <c r="K2" s="35"/>
      <c r="L2" s="35"/>
      <c r="M2" s="72" t="s">
        <v>59</v>
      </c>
      <c r="N2" s="73"/>
      <c r="O2" s="302"/>
      <c r="P2" s="297"/>
    </row>
    <row r="3" spans="1:16" ht="15.75" thickBot="1" x14ac:dyDescent="0.3">
      <c r="A3" s="285"/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287"/>
      <c r="M3" s="312" t="s">
        <v>61</v>
      </c>
      <c r="N3" s="299"/>
      <c r="O3" s="310"/>
      <c r="P3" s="311"/>
    </row>
    <row r="4" spans="1:16" ht="15.75" thickBot="1" x14ac:dyDescent="0.3">
      <c r="A4" s="308" t="s">
        <v>34</v>
      </c>
      <c r="B4" s="308"/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</row>
    <row r="5" spans="1:16" ht="15.75" thickBot="1" x14ac:dyDescent="0.3">
      <c r="A5" s="308"/>
      <c r="B5" s="308"/>
      <c r="C5" s="308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8"/>
      <c r="P5" s="308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3" t="s">
        <v>41</v>
      </c>
      <c r="D37" s="284"/>
      <c r="E37" s="288" t="s">
        <v>45</v>
      </c>
      <c r="F37" s="289"/>
      <c r="G37" s="290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9"/>
      <c r="D38" s="309"/>
      <c r="E38" s="273">
        <v>0</v>
      </c>
      <c r="F38" s="274"/>
      <c r="G38" s="275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6"/>
      <c r="D39" s="316"/>
      <c r="E39" s="273">
        <v>0</v>
      </c>
      <c r="F39" s="274"/>
      <c r="G39" s="275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7"/>
      <c r="D40" s="317"/>
      <c r="E40" s="273">
        <v>0</v>
      </c>
      <c r="F40" s="274"/>
      <c r="G40" s="275"/>
      <c r="H40" s="61"/>
      <c r="I40" s="291"/>
      <c r="J40" s="291"/>
      <c r="K40" s="291"/>
      <c r="L40" s="291"/>
      <c r="M40" s="291"/>
      <c r="N40" s="291"/>
      <c r="O40" s="291"/>
      <c r="P40" s="35"/>
    </row>
    <row r="41" spans="1:16" ht="25.5" x14ac:dyDescent="0.25">
      <c r="A41" s="186" t="s">
        <v>37</v>
      </c>
      <c r="B41" s="10"/>
      <c r="C41" s="316"/>
      <c r="D41" s="316"/>
      <c r="E41" s="273">
        <v>0</v>
      </c>
      <c r="F41" s="274"/>
      <c r="G41" s="275"/>
      <c r="H41" s="61"/>
      <c r="I41" s="292"/>
      <c r="J41" s="292"/>
      <c r="K41" s="292"/>
      <c r="L41" s="292"/>
      <c r="M41" s="292"/>
      <c r="N41" s="292"/>
      <c r="O41" s="292"/>
      <c r="P41" s="35"/>
    </row>
    <row r="42" spans="1:16" ht="25.5" x14ac:dyDescent="0.25">
      <c r="A42" s="186" t="s">
        <v>38</v>
      </c>
      <c r="B42" s="10"/>
      <c r="C42" s="280"/>
      <c r="D42" s="282"/>
      <c r="E42" s="261"/>
      <c r="F42" s="262"/>
      <c r="G42" s="263"/>
      <c r="H42" s="61"/>
      <c r="I42" s="292"/>
      <c r="J42" s="292"/>
      <c r="K42" s="292"/>
      <c r="L42" s="292"/>
      <c r="M42" s="292"/>
      <c r="N42" s="292"/>
      <c r="O42" s="292"/>
      <c r="P42" s="35"/>
    </row>
    <row r="43" spans="1:16" x14ac:dyDescent="0.25">
      <c r="A43" s="186" t="s">
        <v>40</v>
      </c>
      <c r="B43" s="10"/>
      <c r="C43" s="280"/>
      <c r="D43" s="281"/>
      <c r="E43" s="261"/>
      <c r="F43" s="262"/>
      <c r="G43" s="263"/>
      <c r="H43" s="61"/>
      <c r="I43" s="292"/>
      <c r="J43" s="292"/>
      <c r="K43" s="292"/>
      <c r="L43" s="292"/>
      <c r="M43" s="292"/>
      <c r="N43" s="292"/>
      <c r="O43" s="292"/>
      <c r="P43" s="35"/>
    </row>
    <row r="44" spans="1:16" x14ac:dyDescent="0.25">
      <c r="A44" s="186" t="s">
        <v>39</v>
      </c>
      <c r="B44" s="10"/>
      <c r="C44" s="278"/>
      <c r="D44" s="279"/>
      <c r="E44" s="261"/>
      <c r="F44" s="262"/>
      <c r="G44" s="263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3"/>
      <c r="D45" s="313"/>
      <c r="E45" s="273">
        <f>M52</f>
        <v>0</v>
      </c>
      <c r="F45" s="274"/>
      <c r="G45" s="275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4"/>
      <c r="D46" s="314"/>
      <c r="E46" s="273">
        <f t="shared" ref="E46:E47" si="0">M53</f>
        <v>0</v>
      </c>
      <c r="F46" s="274"/>
      <c r="G46" s="275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5"/>
      <c r="D47" s="315"/>
      <c r="E47" s="255">
        <f t="shared" si="0"/>
        <v>0</v>
      </c>
      <c r="F47" s="256"/>
      <c r="G47" s="257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8">
        <f>SUM(E38:E47)</f>
        <v>0</v>
      </c>
      <c r="F48" s="259"/>
      <c r="G48" s="260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7" t="s">
        <v>57</v>
      </c>
      <c r="G50" s="268"/>
      <c r="H50" s="268"/>
      <c r="I50" s="268"/>
      <c r="J50" s="268"/>
      <c r="K50" s="268"/>
      <c r="L50" s="268"/>
      <c r="M50" s="269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70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71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72"/>
      <c r="N54" s="34"/>
      <c r="O54" s="266"/>
      <c r="P54" s="266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72"/>
      <c r="N55" s="34"/>
      <c r="O55" s="266"/>
      <c r="P55" s="266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9" t="s">
        <v>33</v>
      </c>
      <c r="B1" s="276"/>
      <c r="C1" s="277"/>
      <c r="D1" s="69" t="s">
        <v>62</v>
      </c>
      <c r="E1" s="193"/>
      <c r="F1" s="194"/>
      <c r="G1" s="194"/>
      <c r="H1" s="293" t="s">
        <v>32</v>
      </c>
      <c r="I1" s="294"/>
      <c r="J1" s="295"/>
      <c r="K1" s="296"/>
      <c r="L1" s="297"/>
      <c r="M1" s="298" t="s">
        <v>60</v>
      </c>
      <c r="N1" s="299"/>
      <c r="O1" s="300"/>
      <c r="P1" s="301"/>
    </row>
    <row r="2" spans="1:16" ht="15.75" thickBot="1" x14ac:dyDescent="0.3">
      <c r="A2" s="70"/>
      <c r="B2" s="70"/>
      <c r="C2" s="71"/>
      <c r="D2" s="81" t="s">
        <v>63</v>
      </c>
      <c r="E2" s="305"/>
      <c r="F2" s="306"/>
      <c r="G2" s="307"/>
      <c r="H2" s="70"/>
      <c r="I2" s="71"/>
      <c r="J2" s="71"/>
      <c r="K2" s="35"/>
      <c r="L2" s="35"/>
      <c r="M2" s="72" t="s">
        <v>59</v>
      </c>
      <c r="N2" s="73"/>
      <c r="O2" s="302"/>
      <c r="P2" s="297"/>
    </row>
    <row r="3" spans="1:16" ht="15.75" thickBot="1" x14ac:dyDescent="0.3">
      <c r="A3" s="285"/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287"/>
      <c r="M3" s="312" t="s">
        <v>61</v>
      </c>
      <c r="N3" s="299"/>
      <c r="O3" s="310"/>
      <c r="P3" s="311"/>
    </row>
    <row r="4" spans="1:16" ht="15.75" thickBot="1" x14ac:dyDescent="0.3">
      <c r="A4" s="308" t="s">
        <v>68</v>
      </c>
      <c r="B4" s="308"/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</row>
    <row r="5" spans="1:16" ht="15.75" thickBot="1" x14ac:dyDescent="0.3">
      <c r="A5" s="308"/>
      <c r="B5" s="308"/>
      <c r="C5" s="308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8"/>
      <c r="P5" s="308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3" t="s">
        <v>41</v>
      </c>
      <c r="D37" s="284"/>
      <c r="E37" s="288" t="s">
        <v>45</v>
      </c>
      <c r="F37" s="289"/>
      <c r="G37" s="290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9"/>
      <c r="D38" s="309"/>
      <c r="E38" s="273">
        <v>0</v>
      </c>
      <c r="F38" s="274"/>
      <c r="G38" s="275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6"/>
      <c r="D39" s="316"/>
      <c r="E39" s="273">
        <v>0</v>
      </c>
      <c r="F39" s="274"/>
      <c r="G39" s="275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7"/>
      <c r="D40" s="317"/>
      <c r="E40" s="273">
        <v>0</v>
      </c>
      <c r="F40" s="274"/>
      <c r="G40" s="275"/>
      <c r="H40" s="61"/>
      <c r="I40" s="291"/>
      <c r="J40" s="291"/>
      <c r="K40" s="291"/>
      <c r="L40" s="291"/>
      <c r="M40" s="291"/>
      <c r="N40" s="291"/>
      <c r="O40" s="291"/>
      <c r="P40" s="35"/>
    </row>
    <row r="41" spans="1:16" ht="25.5" x14ac:dyDescent="0.25">
      <c r="A41" s="186" t="s">
        <v>37</v>
      </c>
      <c r="B41" s="10"/>
      <c r="C41" s="316"/>
      <c r="D41" s="316"/>
      <c r="E41" s="273">
        <v>0</v>
      </c>
      <c r="F41" s="274"/>
      <c r="G41" s="275"/>
      <c r="H41" s="61"/>
      <c r="I41" s="292"/>
      <c r="J41" s="292"/>
      <c r="K41" s="292"/>
      <c r="L41" s="292"/>
      <c r="M41" s="292"/>
      <c r="N41" s="292"/>
      <c r="O41" s="292"/>
      <c r="P41" s="35"/>
    </row>
    <row r="42" spans="1:16" ht="25.5" x14ac:dyDescent="0.25">
      <c r="A42" s="186" t="s">
        <v>38</v>
      </c>
      <c r="B42" s="10"/>
      <c r="C42" s="280"/>
      <c r="D42" s="282"/>
      <c r="E42" s="261"/>
      <c r="F42" s="262"/>
      <c r="G42" s="263"/>
      <c r="H42" s="61"/>
      <c r="I42" s="292"/>
      <c r="J42" s="292"/>
      <c r="K42" s="292"/>
      <c r="L42" s="292"/>
      <c r="M42" s="292"/>
      <c r="N42" s="292"/>
      <c r="O42" s="292"/>
      <c r="P42" s="35"/>
    </row>
    <row r="43" spans="1:16" x14ac:dyDescent="0.25">
      <c r="A43" s="186" t="s">
        <v>40</v>
      </c>
      <c r="B43" s="10"/>
      <c r="C43" s="280"/>
      <c r="D43" s="281"/>
      <c r="E43" s="261"/>
      <c r="F43" s="262"/>
      <c r="G43" s="263"/>
      <c r="H43" s="61"/>
      <c r="I43" s="292"/>
      <c r="J43" s="292"/>
      <c r="K43" s="292"/>
      <c r="L43" s="292"/>
      <c r="M43" s="292"/>
      <c r="N43" s="292"/>
      <c r="O43" s="292"/>
      <c r="P43" s="35"/>
    </row>
    <row r="44" spans="1:16" x14ac:dyDescent="0.25">
      <c r="A44" s="186" t="s">
        <v>39</v>
      </c>
      <c r="B44" s="10"/>
      <c r="C44" s="278"/>
      <c r="D44" s="279"/>
      <c r="E44" s="261"/>
      <c r="F44" s="262"/>
      <c r="G44" s="263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3"/>
      <c r="D45" s="313"/>
      <c r="E45" s="273">
        <f>M52</f>
        <v>0</v>
      </c>
      <c r="F45" s="274"/>
      <c r="G45" s="275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4"/>
      <c r="D46" s="314"/>
      <c r="E46" s="273">
        <f t="shared" ref="E46:E47" si="0">M53</f>
        <v>0</v>
      </c>
      <c r="F46" s="274"/>
      <c r="G46" s="275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5"/>
      <c r="D47" s="315"/>
      <c r="E47" s="255">
        <f t="shared" si="0"/>
        <v>0</v>
      </c>
      <c r="F47" s="256"/>
      <c r="G47" s="257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8">
        <f>SUM(E38:E47)</f>
        <v>0</v>
      </c>
      <c r="F48" s="259"/>
      <c r="G48" s="260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7" t="s">
        <v>57</v>
      </c>
      <c r="G50" s="268"/>
      <c r="H50" s="268"/>
      <c r="I50" s="268"/>
      <c r="J50" s="268"/>
      <c r="K50" s="268"/>
      <c r="L50" s="268"/>
      <c r="M50" s="269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70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71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72"/>
      <c r="N54" s="34"/>
      <c r="O54" s="266"/>
      <c r="P54" s="266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72"/>
      <c r="N55" s="34"/>
      <c r="O55" s="266"/>
      <c r="P55" s="266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9" t="s">
        <v>33</v>
      </c>
      <c r="B1" s="276"/>
      <c r="C1" s="277"/>
      <c r="D1" s="69" t="s">
        <v>62</v>
      </c>
      <c r="E1" s="193"/>
      <c r="F1" s="194"/>
      <c r="G1" s="194"/>
      <c r="H1" s="293" t="s">
        <v>32</v>
      </c>
      <c r="I1" s="294"/>
      <c r="J1" s="295"/>
      <c r="K1" s="296"/>
      <c r="L1" s="297"/>
      <c r="M1" s="298" t="s">
        <v>60</v>
      </c>
      <c r="N1" s="299"/>
      <c r="O1" s="300"/>
      <c r="P1" s="301"/>
    </row>
    <row r="2" spans="1:16" ht="15.75" thickBot="1" x14ac:dyDescent="0.3">
      <c r="A2" s="70"/>
      <c r="B2" s="70"/>
      <c r="C2" s="71"/>
      <c r="D2" s="81" t="s">
        <v>63</v>
      </c>
      <c r="E2" s="305"/>
      <c r="F2" s="306"/>
      <c r="G2" s="307"/>
      <c r="H2" s="70"/>
      <c r="I2" s="71"/>
      <c r="J2" s="71"/>
      <c r="K2" s="35"/>
      <c r="L2" s="35"/>
      <c r="M2" s="72" t="s">
        <v>59</v>
      </c>
      <c r="N2" s="73"/>
      <c r="O2" s="302"/>
      <c r="P2" s="297"/>
    </row>
    <row r="3" spans="1:16" ht="15.75" thickBot="1" x14ac:dyDescent="0.3">
      <c r="A3" s="285"/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287"/>
      <c r="M3" s="312" t="s">
        <v>61</v>
      </c>
      <c r="N3" s="299"/>
      <c r="O3" s="310"/>
      <c r="P3" s="311"/>
    </row>
    <row r="4" spans="1:16" ht="15.75" thickBot="1" x14ac:dyDescent="0.3">
      <c r="A4" s="308" t="s">
        <v>67</v>
      </c>
      <c r="B4" s="308"/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</row>
    <row r="5" spans="1:16" ht="15.75" thickBot="1" x14ac:dyDescent="0.3">
      <c r="A5" s="308"/>
      <c r="B5" s="308"/>
      <c r="C5" s="308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8"/>
      <c r="P5" s="308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3" t="s">
        <v>41</v>
      </c>
      <c r="D37" s="284"/>
      <c r="E37" s="288" t="s">
        <v>45</v>
      </c>
      <c r="F37" s="289"/>
      <c r="G37" s="290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9"/>
      <c r="D38" s="309"/>
      <c r="E38" s="273">
        <v>0</v>
      </c>
      <c r="F38" s="274"/>
      <c r="G38" s="275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6"/>
      <c r="D39" s="316"/>
      <c r="E39" s="273">
        <v>0</v>
      </c>
      <c r="F39" s="274"/>
      <c r="G39" s="275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7"/>
      <c r="D40" s="317"/>
      <c r="E40" s="273">
        <v>0</v>
      </c>
      <c r="F40" s="274"/>
      <c r="G40" s="275"/>
      <c r="H40" s="61"/>
      <c r="I40" s="291"/>
      <c r="J40" s="291"/>
      <c r="K40" s="291"/>
      <c r="L40" s="291"/>
      <c r="M40" s="291"/>
      <c r="N40" s="291"/>
      <c r="O40" s="291"/>
      <c r="P40" s="35"/>
    </row>
    <row r="41" spans="1:16" ht="25.5" x14ac:dyDescent="0.25">
      <c r="A41" s="186" t="s">
        <v>37</v>
      </c>
      <c r="B41" s="10"/>
      <c r="C41" s="316"/>
      <c r="D41" s="316"/>
      <c r="E41" s="273">
        <v>0</v>
      </c>
      <c r="F41" s="274"/>
      <c r="G41" s="275"/>
      <c r="H41" s="61"/>
      <c r="I41" s="292"/>
      <c r="J41" s="292"/>
      <c r="K41" s="292"/>
      <c r="L41" s="292"/>
      <c r="M41" s="292"/>
      <c r="N41" s="292"/>
      <c r="O41" s="292"/>
      <c r="P41" s="35"/>
    </row>
    <row r="42" spans="1:16" ht="25.5" x14ac:dyDescent="0.25">
      <c r="A42" s="186" t="s">
        <v>38</v>
      </c>
      <c r="B42" s="10"/>
      <c r="C42" s="280"/>
      <c r="D42" s="282"/>
      <c r="E42" s="261"/>
      <c r="F42" s="262"/>
      <c r="G42" s="263"/>
      <c r="H42" s="61"/>
      <c r="I42" s="292"/>
      <c r="J42" s="292"/>
      <c r="K42" s="292"/>
      <c r="L42" s="292"/>
      <c r="M42" s="292"/>
      <c r="N42" s="292"/>
      <c r="O42" s="292"/>
      <c r="P42" s="35"/>
    </row>
    <row r="43" spans="1:16" x14ac:dyDescent="0.25">
      <c r="A43" s="186" t="s">
        <v>40</v>
      </c>
      <c r="B43" s="10"/>
      <c r="C43" s="280"/>
      <c r="D43" s="281"/>
      <c r="E43" s="261"/>
      <c r="F43" s="262"/>
      <c r="G43" s="263"/>
      <c r="H43" s="61"/>
      <c r="I43" s="292"/>
      <c r="J43" s="292"/>
      <c r="K43" s="292"/>
      <c r="L43" s="292"/>
      <c r="M43" s="292"/>
      <c r="N43" s="292"/>
      <c r="O43" s="292"/>
      <c r="P43" s="35"/>
    </row>
    <row r="44" spans="1:16" x14ac:dyDescent="0.25">
      <c r="A44" s="186" t="s">
        <v>39</v>
      </c>
      <c r="B44" s="10"/>
      <c r="C44" s="278"/>
      <c r="D44" s="279"/>
      <c r="E44" s="261"/>
      <c r="F44" s="262"/>
      <c r="G44" s="263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3"/>
      <c r="D45" s="313"/>
      <c r="E45" s="273">
        <f>M52</f>
        <v>0</v>
      </c>
      <c r="F45" s="274"/>
      <c r="G45" s="275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4"/>
      <c r="D46" s="314"/>
      <c r="E46" s="273">
        <f t="shared" ref="E46:E47" si="0">M53</f>
        <v>0</v>
      </c>
      <c r="F46" s="274"/>
      <c r="G46" s="275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5"/>
      <c r="D47" s="315"/>
      <c r="E47" s="255">
        <f t="shared" si="0"/>
        <v>0</v>
      </c>
      <c r="F47" s="256"/>
      <c r="G47" s="257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8">
        <f>SUM(E38:E47)</f>
        <v>0</v>
      </c>
      <c r="F48" s="259"/>
      <c r="G48" s="260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7" t="s">
        <v>57</v>
      </c>
      <c r="G50" s="268"/>
      <c r="H50" s="268"/>
      <c r="I50" s="268"/>
      <c r="J50" s="268"/>
      <c r="K50" s="268"/>
      <c r="L50" s="268"/>
      <c r="M50" s="269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70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71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72"/>
      <c r="N54" s="34"/>
      <c r="O54" s="266"/>
      <c r="P54" s="266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72"/>
      <c r="N55" s="34"/>
      <c r="O55" s="266"/>
      <c r="P55" s="266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6" t="s">
        <v>33</v>
      </c>
      <c r="B1" s="318"/>
      <c r="C1" s="319"/>
      <c r="D1" s="226" t="s">
        <v>62</v>
      </c>
      <c r="E1" s="227"/>
      <c r="F1" s="228"/>
      <c r="G1" s="229"/>
      <c r="H1" s="320"/>
      <c r="I1" s="321"/>
      <c r="J1" s="321"/>
      <c r="K1" s="322"/>
      <c r="L1" s="322"/>
      <c r="M1" s="323"/>
      <c r="N1" s="322"/>
      <c r="O1" s="324"/>
      <c r="P1" s="324"/>
    </row>
    <row r="2" spans="1:16" ht="15.75" thickBot="1" x14ac:dyDescent="0.3">
      <c r="A2" s="308"/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</row>
    <row r="3" spans="1:16" ht="15.75" hidden="1" thickBot="1" x14ac:dyDescent="0.3">
      <c r="A3" s="308"/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</row>
    <row r="4" spans="1:16" ht="15.75" thickBot="1" x14ac:dyDescent="0.3">
      <c r="A4" s="170" t="s">
        <v>0</v>
      </c>
      <c r="B4" s="170" t="s">
        <v>1</v>
      </c>
      <c r="C4" s="170" t="s">
        <v>2</v>
      </c>
      <c r="D4" s="170" t="s">
        <v>3</v>
      </c>
      <c r="E4" s="170" t="s">
        <v>4</v>
      </c>
      <c r="F4" s="170"/>
      <c r="G4" s="170"/>
      <c r="H4" s="170"/>
      <c r="I4" s="170"/>
      <c r="J4" s="170"/>
      <c r="K4" s="170"/>
      <c r="L4" s="170" t="s">
        <v>11</v>
      </c>
      <c r="M4" s="171"/>
      <c r="N4" s="171" t="s">
        <v>12</v>
      </c>
      <c r="O4" s="171"/>
      <c r="P4" s="170" t="s">
        <v>13</v>
      </c>
    </row>
    <row r="5" spans="1:16" ht="15.75" thickBo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24"/>
      <c r="O5" s="124"/>
      <c r="P5" s="125"/>
    </row>
    <row r="6" spans="1:16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5"/>
      <c r="N6" s="237"/>
      <c r="O6" s="237"/>
      <c r="P6" s="238"/>
    </row>
    <row r="7" spans="1:16" x14ac:dyDescent="0.25">
      <c r="A7" s="105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6"/>
      <c r="N7" s="108"/>
      <c r="O7" s="108"/>
      <c r="P7" s="109"/>
    </row>
    <row r="8" spans="1:16" x14ac:dyDescent="0.25">
      <c r="A8" s="110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1"/>
      <c r="N8" s="103"/>
      <c r="O8" s="103"/>
      <c r="P8" s="104"/>
    </row>
    <row r="9" spans="1:16" x14ac:dyDescent="0.25">
      <c r="A9" s="11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1"/>
      <c r="N9" s="103"/>
      <c r="O9" s="103"/>
      <c r="P9" s="104"/>
    </row>
    <row r="10" spans="1:16" x14ac:dyDescent="0.25">
      <c r="A10" s="110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1"/>
      <c r="N10" s="103"/>
      <c r="O10" s="103"/>
      <c r="P10" s="104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1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1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12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12"/>
    </row>
    <row r="17" spans="1:16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  <c r="O17" s="115"/>
      <c r="P17" s="112"/>
    </row>
    <row r="18" spans="1:16" x14ac:dyDescent="0.25">
      <c r="A18" s="111"/>
      <c r="B18" s="101"/>
      <c r="C18" s="116"/>
      <c r="D18" s="102"/>
      <c r="E18" s="102"/>
      <c r="F18" s="102"/>
      <c r="G18" s="117"/>
      <c r="H18" s="117"/>
      <c r="I18" s="118"/>
      <c r="J18" s="102"/>
      <c r="K18" s="102"/>
      <c r="L18" s="102"/>
      <c r="M18" s="102"/>
      <c r="N18" s="103"/>
      <c r="O18" s="103"/>
      <c r="P18" s="119"/>
    </row>
    <row r="19" spans="1:16" x14ac:dyDescent="0.25">
      <c r="A19" s="111"/>
      <c r="B19" s="101"/>
      <c r="C19" s="116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4"/>
    </row>
    <row r="20" spans="1:16" x14ac:dyDescent="0.25">
      <c r="A20" s="111"/>
      <c r="B20" s="101"/>
      <c r="C20" s="116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4"/>
    </row>
    <row r="21" spans="1:16" x14ac:dyDescent="0.25">
      <c r="A21" s="111"/>
      <c r="B21" s="101"/>
      <c r="C21" s="120"/>
      <c r="D21" s="121"/>
      <c r="E21" s="102"/>
      <c r="F21" s="102"/>
      <c r="G21" s="117"/>
      <c r="H21" s="117"/>
      <c r="I21" s="118"/>
      <c r="J21" s="102"/>
      <c r="K21" s="102"/>
      <c r="L21" s="121"/>
      <c r="M21" s="121"/>
      <c r="N21" s="121"/>
      <c r="O21" s="121"/>
      <c r="P21" s="112"/>
    </row>
    <row r="22" spans="1:16" x14ac:dyDescent="0.25">
      <c r="A22" s="111"/>
      <c r="B22" s="101"/>
      <c r="C22" s="120"/>
      <c r="D22" s="121"/>
      <c r="E22" s="102"/>
      <c r="F22" s="102"/>
      <c r="G22" s="117"/>
      <c r="H22" s="117"/>
      <c r="I22" s="118"/>
      <c r="J22" s="102"/>
      <c r="K22" s="102"/>
      <c r="L22" s="121"/>
      <c r="M22" s="121"/>
      <c r="N22" s="121"/>
      <c r="O22" s="121"/>
      <c r="P22" s="112"/>
    </row>
    <row r="23" spans="1:16" x14ac:dyDescent="0.25">
      <c r="A23" s="111"/>
      <c r="B23" s="101"/>
      <c r="C23" s="120"/>
      <c r="D23" s="121"/>
      <c r="E23" s="102"/>
      <c r="F23" s="102"/>
      <c r="G23" s="117"/>
      <c r="H23" s="117"/>
      <c r="I23" s="118"/>
      <c r="J23" s="102"/>
      <c r="K23" s="102"/>
      <c r="L23" s="121"/>
      <c r="M23" s="121"/>
      <c r="N23" s="121"/>
      <c r="O23" s="121"/>
      <c r="P23" s="112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ht="15.75" thickBot="1" x14ac:dyDescent="0.3">
      <c r="A26" s="239"/>
      <c r="B26" s="240"/>
      <c r="C26" s="241"/>
      <c r="D26" s="242"/>
      <c r="E26" s="243"/>
      <c r="F26" s="243"/>
      <c r="G26" s="244"/>
      <c r="H26" s="244"/>
      <c r="I26" s="245"/>
      <c r="J26" s="243"/>
      <c r="K26" s="243"/>
      <c r="L26" s="242"/>
      <c r="M26" s="242"/>
      <c r="N26" s="242"/>
      <c r="O26" s="242"/>
      <c r="P26" s="246"/>
    </row>
    <row r="27" spans="1:16" ht="15.75" thickBot="1" x14ac:dyDescent="0.3">
      <c r="A27" s="66"/>
      <c r="B27" s="66"/>
      <c r="C27" s="67"/>
      <c r="D27" s="232">
        <f>SUM(D6:D26)</f>
        <v>0</v>
      </c>
      <c r="E27" s="232">
        <f>SUM(E6:E26)</f>
        <v>0</v>
      </c>
      <c r="F27" s="233"/>
      <c r="G27" s="230"/>
      <c r="H27" s="230"/>
      <c r="I27" s="231"/>
      <c r="J27" s="63"/>
      <c r="K27" s="68"/>
      <c r="L27" s="68"/>
      <c r="M27" s="63"/>
      <c r="N27" s="63"/>
      <c r="O27" s="63"/>
      <c r="P27" s="35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event manager</cp:lastModifiedBy>
  <cp:revision>5</cp:revision>
  <cp:lastPrinted>2018-10-31T12:39:02Z</cp:lastPrinted>
  <dcterms:created xsi:type="dcterms:W3CDTF">2014-05-15T14:58:22Z</dcterms:created>
  <dcterms:modified xsi:type="dcterms:W3CDTF">2026-04-09T14:34:31Z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