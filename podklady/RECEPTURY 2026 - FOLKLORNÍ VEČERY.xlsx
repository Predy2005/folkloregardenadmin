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PROVOZ\RECEPTURY A NÁKLAD\"/>
    </mc:Choice>
  </mc:AlternateContent>
  <xr:revisionPtr revIDLastSave="0" documentId="13_ncr:1_{BEE288D1-DC4C-4460-8361-D43AA79B756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ředkrm" sheetId="17" r:id="rId1"/>
    <sheet name="Bramboračka" sheetId="1" r:id="rId2"/>
    <sheet name="Kuře pečené 1_4" sheetId="3" r:id="rId3"/>
    <sheet name="Grilovaná zelenina + Falafel" sheetId="4" r:id="rId4"/>
    <sheet name="Vegetariánské těstoviny" sheetId="20" r:id="rId5"/>
    <sheet name="Pečené kachní stehno" sheetId="5" r:id="rId6"/>
    <sheet name="Vepřové koleno" sheetId="6" r:id="rId7"/>
    <sheet name="Grilovaný losos" sheetId="7" r:id="rId8"/>
    <sheet name="Pstruh v alobalu" sheetId="8" r:id="rId9"/>
    <sheet name="Halal" sheetId="19" r:id="rId10"/>
    <sheet name="Kuřecí palička" sheetId="12" r:id="rId11"/>
    <sheet name="Losos+palička" sheetId="21" r:id="rId12"/>
    <sheet name="Vepřová krkovice" sheetId="13" r:id="rId13"/>
    <sheet name="Uzené" sheetId="14" r:id="rId14"/>
    <sheet name="Zelný salát" sheetId="15" r:id="rId15"/>
    <sheet name="Pečené brambory" sheetId="10" r:id="rId16"/>
    <sheet name="Šťouchané brambory" sheetId="11" r:id="rId17"/>
    <sheet name="Štrůdl" sheetId="16" r:id="rId18"/>
    <sheet name="VZOR TABULKY" sheetId="18" r:id="rId19"/>
  </sheets>
  <calcPr calcId="181029"/>
</workbook>
</file>

<file path=xl/calcChain.xml><?xml version="1.0" encoding="utf-8"?>
<calcChain xmlns="http://schemas.openxmlformats.org/spreadsheetml/2006/main">
  <c r="G10" i="1" l="1"/>
  <c r="E18" i="17" l="1"/>
  <c r="C4" i="17" s="1"/>
  <c r="F10" i="4" l="1"/>
  <c r="G10" i="4" s="1"/>
  <c r="F9" i="4"/>
  <c r="G9" i="4" s="1"/>
  <c r="E16" i="4"/>
  <c r="F15" i="4"/>
  <c r="G15" i="4" s="1"/>
  <c r="F11" i="4"/>
  <c r="G11" i="4" s="1"/>
  <c r="E19" i="1"/>
  <c r="F7" i="17" l="1"/>
  <c r="F7" i="10"/>
  <c r="F7" i="15" l="1"/>
  <c r="G7" i="15" s="1"/>
  <c r="F8" i="15"/>
  <c r="G8" i="15" s="1"/>
  <c r="F9" i="15"/>
  <c r="G9" i="15" s="1"/>
  <c r="F10" i="15"/>
  <c r="G10" i="15" s="1"/>
  <c r="F11" i="15"/>
  <c r="G11" i="15" s="1"/>
  <c r="F12" i="15"/>
  <c r="G12" i="15"/>
  <c r="F13" i="15"/>
  <c r="G13" i="15"/>
  <c r="F14" i="15"/>
  <c r="G14" i="15" s="1"/>
  <c r="F15" i="15"/>
  <c r="G15" i="15" s="1"/>
  <c r="F16" i="15"/>
  <c r="G16" i="15" s="1"/>
  <c r="F17" i="15"/>
  <c r="G17" i="15" s="1"/>
  <c r="E18" i="15"/>
  <c r="C4" i="15" s="1"/>
  <c r="F7" i="1"/>
  <c r="F8" i="1"/>
  <c r="G8" i="1" s="1"/>
  <c r="F9" i="1"/>
  <c r="G9" i="1" s="1"/>
  <c r="F10" i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E18" i="21"/>
  <c r="C4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E18" i="20"/>
  <c r="C4" i="20" s="1"/>
  <c r="F17" i="20"/>
  <c r="G17" i="20" s="1"/>
  <c r="F16" i="20"/>
  <c r="G16" i="20" s="1"/>
  <c r="F15" i="20"/>
  <c r="G15" i="20" s="1"/>
  <c r="F14" i="20"/>
  <c r="G14" i="20"/>
  <c r="F13" i="20"/>
  <c r="G13" i="20" s="1"/>
  <c r="F12" i="20"/>
  <c r="G12" i="20" s="1"/>
  <c r="F11" i="20"/>
  <c r="G11" i="20" s="1"/>
  <c r="F10" i="20"/>
  <c r="G10" i="20" s="1"/>
  <c r="F9" i="20"/>
  <c r="G9" i="20" s="1"/>
  <c r="F8" i="20"/>
  <c r="G8" i="20" s="1"/>
  <c r="F7" i="20"/>
  <c r="G7" i="20" s="1"/>
  <c r="E17" i="19"/>
  <c r="C4" i="19" s="1"/>
  <c r="F16" i="19"/>
  <c r="G16" i="19" s="1"/>
  <c r="F15" i="19"/>
  <c r="G15" i="19" s="1"/>
  <c r="F14" i="19"/>
  <c r="G14" i="19" s="1"/>
  <c r="F13" i="19"/>
  <c r="G13" i="19" s="1"/>
  <c r="F12" i="19"/>
  <c r="G12" i="19" s="1"/>
  <c r="F11" i="19"/>
  <c r="G11" i="19" s="1"/>
  <c r="F10" i="19"/>
  <c r="G10" i="19" s="1"/>
  <c r="F9" i="19"/>
  <c r="G9" i="19" s="1"/>
  <c r="F8" i="19"/>
  <c r="G8" i="19" s="1"/>
  <c r="F7" i="19"/>
  <c r="G7" i="19" s="1"/>
  <c r="F9" i="11"/>
  <c r="G9" i="11" s="1"/>
  <c r="F7" i="18"/>
  <c r="G7" i="18" s="1"/>
  <c r="F8" i="18"/>
  <c r="G8" i="18"/>
  <c r="F9" i="18"/>
  <c r="G9" i="18" s="1"/>
  <c r="F10" i="18"/>
  <c r="G10" i="18"/>
  <c r="F11" i="18"/>
  <c r="G11" i="18" s="1"/>
  <c r="F12" i="18"/>
  <c r="G12" i="18" s="1"/>
  <c r="F13" i="18"/>
  <c r="G13" i="18" s="1"/>
  <c r="F14" i="18"/>
  <c r="G14" i="18" s="1"/>
  <c r="F15" i="18"/>
  <c r="G15" i="18"/>
  <c r="F16" i="18"/>
  <c r="G16" i="18" s="1"/>
  <c r="F17" i="18"/>
  <c r="G17" i="18"/>
  <c r="E18" i="18"/>
  <c r="C4" i="18" s="1"/>
  <c r="F8" i="17"/>
  <c r="G8" i="17" s="1"/>
  <c r="F9" i="17"/>
  <c r="G9" i="17" s="1"/>
  <c r="F10" i="17"/>
  <c r="G10" i="17" s="1"/>
  <c r="F11" i="17"/>
  <c r="G11" i="17" s="1"/>
  <c r="F12" i="17"/>
  <c r="G12" i="17" s="1"/>
  <c r="F13" i="17"/>
  <c r="G13" i="17" s="1"/>
  <c r="F14" i="17"/>
  <c r="G14" i="17" s="1"/>
  <c r="F15" i="17"/>
  <c r="G15" i="17" s="1"/>
  <c r="F16" i="17"/>
  <c r="G16" i="17" s="1"/>
  <c r="F17" i="17"/>
  <c r="G17" i="17" s="1"/>
  <c r="F7" i="16"/>
  <c r="F8" i="16"/>
  <c r="G8" i="16" s="1"/>
  <c r="F9" i="16"/>
  <c r="G9" i="16" s="1"/>
  <c r="F10" i="16"/>
  <c r="G10" i="16" s="1"/>
  <c r="F11" i="16"/>
  <c r="G11" i="16" s="1"/>
  <c r="F12" i="16"/>
  <c r="G12" i="16"/>
  <c r="F13" i="16"/>
  <c r="G13" i="16" s="1"/>
  <c r="F14" i="16"/>
  <c r="G14" i="16" s="1"/>
  <c r="F15" i="16"/>
  <c r="G15" i="16" s="1"/>
  <c r="F16" i="16"/>
  <c r="G16" i="16" s="1"/>
  <c r="F17" i="16"/>
  <c r="G17" i="16"/>
  <c r="E18" i="16"/>
  <c r="C4" i="16" s="1"/>
  <c r="F7" i="14"/>
  <c r="G7" i="14" s="1"/>
  <c r="F8" i="14"/>
  <c r="G8" i="14" s="1"/>
  <c r="F9" i="14"/>
  <c r="G9" i="14" s="1"/>
  <c r="F10" i="14"/>
  <c r="G10" i="14" s="1"/>
  <c r="F11" i="14"/>
  <c r="G11" i="14" s="1"/>
  <c r="F12" i="14"/>
  <c r="G12" i="14" s="1"/>
  <c r="F13" i="14"/>
  <c r="G13" i="14" s="1"/>
  <c r="F14" i="14"/>
  <c r="G14" i="14" s="1"/>
  <c r="F15" i="14"/>
  <c r="G15" i="14" s="1"/>
  <c r="F16" i="14"/>
  <c r="G16" i="14" s="1"/>
  <c r="F17" i="14"/>
  <c r="G17" i="14" s="1"/>
  <c r="E18" i="14"/>
  <c r="C4" i="14" s="1"/>
  <c r="F7" i="13"/>
  <c r="F8" i="13"/>
  <c r="G8" i="13" s="1"/>
  <c r="F9" i="13"/>
  <c r="G9" i="13" s="1"/>
  <c r="F10" i="13"/>
  <c r="G10" i="13" s="1"/>
  <c r="F11" i="13"/>
  <c r="G11" i="13" s="1"/>
  <c r="F12" i="13"/>
  <c r="G12" i="13" s="1"/>
  <c r="F13" i="13"/>
  <c r="G13" i="13" s="1"/>
  <c r="F14" i="13"/>
  <c r="G14" i="13" s="1"/>
  <c r="F15" i="13"/>
  <c r="G15" i="13" s="1"/>
  <c r="F16" i="13"/>
  <c r="G16" i="13" s="1"/>
  <c r="F17" i="13"/>
  <c r="G17" i="13" s="1"/>
  <c r="E18" i="13"/>
  <c r="C4" i="13" s="1"/>
  <c r="F7" i="12"/>
  <c r="G7" i="12" s="1"/>
  <c r="F8" i="12"/>
  <c r="G8" i="12" s="1"/>
  <c r="F9" i="12"/>
  <c r="G9" i="12" s="1"/>
  <c r="F10" i="12"/>
  <c r="G10" i="12" s="1"/>
  <c r="F11" i="12"/>
  <c r="G11" i="12" s="1"/>
  <c r="F12" i="12"/>
  <c r="G12" i="12" s="1"/>
  <c r="F13" i="12"/>
  <c r="G13" i="12" s="1"/>
  <c r="F14" i="12"/>
  <c r="G14" i="12" s="1"/>
  <c r="F15" i="12"/>
  <c r="G15" i="12" s="1"/>
  <c r="F16" i="12"/>
  <c r="G16" i="12" s="1"/>
  <c r="F17" i="12"/>
  <c r="G17" i="12" s="1"/>
  <c r="E18" i="12"/>
  <c r="C4" i="12" s="1"/>
  <c r="F7" i="11"/>
  <c r="G7" i="11"/>
  <c r="F8" i="11"/>
  <c r="G8" i="11" s="1"/>
  <c r="F10" i="11"/>
  <c r="G10" i="11" s="1"/>
  <c r="F11" i="11"/>
  <c r="G11" i="11"/>
  <c r="F12" i="11"/>
  <c r="G12" i="11" s="1"/>
  <c r="F13" i="11"/>
  <c r="G13" i="11"/>
  <c r="F14" i="11"/>
  <c r="G14" i="11" s="1"/>
  <c r="F15" i="11"/>
  <c r="G15" i="11" s="1"/>
  <c r="F16" i="11"/>
  <c r="G16" i="11" s="1"/>
  <c r="F17" i="11"/>
  <c r="G17" i="11" s="1"/>
  <c r="E18" i="11"/>
  <c r="C4" i="11" s="1"/>
  <c r="G7" i="10"/>
  <c r="F8" i="10"/>
  <c r="G8" i="10" s="1"/>
  <c r="F9" i="10"/>
  <c r="G9" i="10" s="1"/>
  <c r="F10" i="10"/>
  <c r="G10" i="10" s="1"/>
  <c r="F11" i="10"/>
  <c r="G11" i="10" s="1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E18" i="10"/>
  <c r="C4" i="10" s="1"/>
  <c r="F7" i="8"/>
  <c r="G7" i="8" s="1"/>
  <c r="F8" i="8"/>
  <c r="G8" i="8" s="1"/>
  <c r="F9" i="8"/>
  <c r="G9" i="8" s="1"/>
  <c r="F10" i="8"/>
  <c r="G10" i="8" s="1"/>
  <c r="F11" i="8"/>
  <c r="G11" i="8" s="1"/>
  <c r="F12" i="8"/>
  <c r="F13" i="8"/>
  <c r="F14" i="8"/>
  <c r="F15" i="8"/>
  <c r="G15" i="8" s="1"/>
  <c r="F16" i="8"/>
  <c r="G16" i="8" s="1"/>
  <c r="F17" i="8"/>
  <c r="G17" i="8" s="1"/>
  <c r="G12" i="8"/>
  <c r="G13" i="8"/>
  <c r="G14" i="8"/>
  <c r="E18" i="8"/>
  <c r="C4" i="8" s="1"/>
  <c r="F7" i="7"/>
  <c r="G7" i="7" s="1"/>
  <c r="F8" i="7"/>
  <c r="F9" i="7"/>
  <c r="G9" i="7" s="1"/>
  <c r="F10" i="7"/>
  <c r="G10" i="7" s="1"/>
  <c r="F11" i="7"/>
  <c r="G11" i="7" s="1"/>
  <c r="F12" i="7"/>
  <c r="G12" i="7" s="1"/>
  <c r="F13" i="7"/>
  <c r="G13" i="7" s="1"/>
  <c r="F14" i="7"/>
  <c r="G14" i="7" s="1"/>
  <c r="F15" i="7"/>
  <c r="G15" i="7" s="1"/>
  <c r="F16" i="7"/>
  <c r="G16" i="7" s="1"/>
  <c r="F17" i="7"/>
  <c r="G17" i="7" s="1"/>
  <c r="E18" i="7"/>
  <c r="C4" i="7" s="1"/>
  <c r="F7" i="6"/>
  <c r="F8" i="6"/>
  <c r="F9" i="6"/>
  <c r="G9" i="6" s="1"/>
  <c r="F10" i="6"/>
  <c r="G10" i="6" s="1"/>
  <c r="F11" i="6"/>
  <c r="G11" i="6" s="1"/>
  <c r="F12" i="6"/>
  <c r="G12" i="6"/>
  <c r="F13" i="6"/>
  <c r="G13" i="6" s="1"/>
  <c r="F14" i="6"/>
  <c r="G14" i="6" s="1"/>
  <c r="F15" i="6"/>
  <c r="G15" i="6" s="1"/>
  <c r="F16" i="6"/>
  <c r="G16" i="6" s="1"/>
  <c r="F17" i="6"/>
  <c r="G17" i="6" s="1"/>
  <c r="E18" i="6"/>
  <c r="C4" i="6" s="1"/>
  <c r="F7" i="5"/>
  <c r="G7" i="5" s="1"/>
  <c r="F8" i="5"/>
  <c r="G8" i="5" s="1"/>
  <c r="F9" i="5"/>
  <c r="G9" i="5" s="1"/>
  <c r="F10" i="5"/>
  <c r="G10" i="5"/>
  <c r="F11" i="5"/>
  <c r="G11" i="5" s="1"/>
  <c r="F12" i="5"/>
  <c r="G12" i="5"/>
  <c r="F13" i="5"/>
  <c r="G13" i="5" s="1"/>
  <c r="F14" i="5"/>
  <c r="G14" i="5"/>
  <c r="F15" i="5"/>
  <c r="G15" i="5" s="1"/>
  <c r="F16" i="5"/>
  <c r="G16" i="5" s="1"/>
  <c r="F17" i="5"/>
  <c r="G17" i="5" s="1"/>
  <c r="E18" i="5"/>
  <c r="C4" i="5" s="1"/>
  <c r="F7" i="4"/>
  <c r="F8" i="4"/>
  <c r="G8" i="4" s="1"/>
  <c r="F12" i="4"/>
  <c r="G12" i="4" s="1"/>
  <c r="F13" i="4"/>
  <c r="G13" i="4" s="1"/>
  <c r="F14" i="4"/>
  <c r="G14" i="4" s="1"/>
  <c r="C4" i="4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/>
  <c r="F15" i="3"/>
  <c r="G15" i="3" s="1"/>
  <c r="F16" i="3"/>
  <c r="G16" i="3" s="1"/>
  <c r="F17" i="3"/>
  <c r="G17" i="3" s="1"/>
  <c r="E18" i="3"/>
  <c r="C4" i="3" s="1"/>
  <c r="C4" i="1"/>
  <c r="G7" i="17"/>
  <c r="F18" i="16" l="1"/>
  <c r="F18" i="18"/>
  <c r="G7" i="4"/>
  <c r="H16" i="4" s="1"/>
  <c r="H17" i="4" s="1"/>
  <c r="F16" i="4"/>
  <c r="G7" i="16"/>
  <c r="H18" i="16" s="1"/>
  <c r="H19" i="16" s="1"/>
  <c r="D19" i="16" s="1"/>
  <c r="G7" i="13"/>
  <c r="H18" i="13" s="1"/>
  <c r="H19" i="13" s="1"/>
  <c r="D19" i="13" s="1"/>
  <c r="F18" i="13"/>
  <c r="G7" i="1"/>
  <c r="H19" i="1" s="1"/>
  <c r="H20" i="1" s="1"/>
  <c r="D20" i="1" s="1"/>
  <c r="F19" i="1"/>
  <c r="F18" i="6"/>
  <c r="H18" i="3"/>
  <c r="H19" i="3" s="1"/>
  <c r="D19" i="3" s="1"/>
  <c r="G7" i="6"/>
  <c r="H18" i="10"/>
  <c r="H19" i="10" s="1"/>
  <c r="D19" i="10" s="1"/>
  <c r="F17" i="19"/>
  <c r="F18" i="3"/>
  <c r="H17" i="19"/>
  <c r="H18" i="19" s="1"/>
  <c r="D18" i="19" s="1"/>
  <c r="H18" i="20"/>
  <c r="H19" i="20" s="1"/>
  <c r="D19" i="20" s="1"/>
  <c r="F18" i="20"/>
  <c r="D17" i="4"/>
  <c r="F18" i="7"/>
  <c r="G8" i="6"/>
  <c r="F18" i="15"/>
  <c r="F18" i="11"/>
  <c r="H18" i="18"/>
  <c r="H19" i="18" s="1"/>
  <c r="D19" i="18" s="1"/>
  <c r="H18" i="5"/>
  <c r="H19" i="5" s="1"/>
  <c r="D19" i="5" s="1"/>
  <c r="H18" i="11"/>
  <c r="H19" i="11" s="1"/>
  <c r="D19" i="11" s="1"/>
  <c r="H18" i="17"/>
  <c r="H19" i="17" s="1"/>
  <c r="D19" i="17" s="1"/>
  <c r="H18" i="8"/>
  <c r="H19" i="8" s="1"/>
  <c r="D19" i="8" s="1"/>
  <c r="H18" i="7"/>
  <c r="H19" i="7" s="1"/>
  <c r="D19" i="7" s="1"/>
  <c r="H18" i="21"/>
  <c r="H19" i="21" s="1"/>
  <c r="D19" i="21" s="1"/>
  <c r="H18" i="15"/>
  <c r="H19" i="15" s="1"/>
  <c r="D19" i="15" s="1"/>
  <c r="F18" i="10"/>
  <c r="F18" i="5"/>
  <c r="F18" i="8"/>
  <c r="F18" i="17"/>
  <c r="F18" i="21"/>
  <c r="H18" i="14"/>
  <c r="H19" i="14" s="1"/>
  <c r="D19" i="14" s="1"/>
  <c r="F18" i="14"/>
  <c r="H18" i="12"/>
  <c r="H19" i="12" s="1"/>
  <c r="D19" i="12" s="1"/>
  <c r="F18" i="12"/>
  <c r="H18" i="6" l="1"/>
  <c r="H19" i="6" s="1"/>
  <c r="D19" i="6" s="1"/>
</calcChain>
</file>

<file path=xl/sharedStrings.xml><?xml version="1.0" encoding="utf-8"?>
<sst xmlns="http://schemas.openxmlformats.org/spreadsheetml/2006/main" count="540" uniqueCount="126">
  <si>
    <t>R E C E P T O V Ý    L I S T</t>
  </si>
  <si>
    <t xml:space="preserve"> Receptura a kalkulace pro výpočet porcí: </t>
  </si>
  <si>
    <t xml:space="preserve"> </t>
  </si>
  <si>
    <t>Název pokrmu :</t>
  </si>
  <si>
    <t>Bramboračka s houbami</t>
  </si>
  <si>
    <t>Hmotnost 1 porce:</t>
  </si>
  <si>
    <t xml:space="preserve">  DRUH POTRAVIN</t>
  </si>
  <si>
    <t>MAKRO/ ZDROJ</t>
  </si>
  <si>
    <t>Hmotnost 1 porce v g/ml</t>
  </si>
  <si>
    <t>Hmotnost pro požadovaný 
počet porcí v g/ml</t>
  </si>
  <si>
    <t>Cena Kč</t>
  </si>
  <si>
    <t>Za zvolený počet porcí</t>
  </si>
  <si>
    <t>Za kg/l</t>
  </si>
  <si>
    <t>Brambory</t>
  </si>
  <si>
    <t>Cibule</t>
  </si>
  <si>
    <t>Česnek</t>
  </si>
  <si>
    <t>Vývar (masox)</t>
  </si>
  <si>
    <t>Žampiony</t>
  </si>
  <si>
    <t>Šandera</t>
  </si>
  <si>
    <t>Majoránka</t>
  </si>
  <si>
    <t>Sůl</t>
  </si>
  <si>
    <t>Pepř</t>
  </si>
  <si>
    <t>Hmotnost potravin celkem v g:</t>
  </si>
  <si>
    <t>Cena za zvolený počet porcí:</t>
  </si>
  <si>
    <t>Cena za gram pokrmu na rautový stůl:</t>
  </si>
  <si>
    <t xml:space="preserve">
Cena za jednu porci:</t>
  </si>
  <si>
    <t>Hmotnost hotového výrobku za zvolený počet porcí v g:</t>
  </si>
  <si>
    <t xml:space="preserve">  Výrobní postup:</t>
  </si>
  <si>
    <t>Recept:</t>
  </si>
  <si>
    <t>Kuřecí palička</t>
  </si>
  <si>
    <t>Vepřová krkovice</t>
  </si>
  <si>
    <t>Uzená krkovice</t>
  </si>
  <si>
    <t>Kuře pečené 1/4</t>
  </si>
  <si>
    <t>Grilovací koření</t>
  </si>
  <si>
    <t>Grilovaná zelenina</t>
  </si>
  <si>
    <t>Cuketa</t>
  </si>
  <si>
    <t>Paprika žlutá</t>
  </si>
  <si>
    <t>Paprika červená</t>
  </si>
  <si>
    <t>Olivový olej</t>
  </si>
  <si>
    <t>Kachna pečená 1/4</t>
  </si>
  <si>
    <t>Kmín drcený</t>
  </si>
  <si>
    <t>Pečené vepřové koleno</t>
  </si>
  <si>
    <t>Provaznik</t>
  </si>
  <si>
    <t>Křen</t>
  </si>
  <si>
    <t>Hořčice plnotučná</t>
  </si>
  <si>
    <t>Kmín celý</t>
  </si>
  <si>
    <t>Grilovaný losos</t>
  </si>
  <si>
    <t>Losos</t>
  </si>
  <si>
    <t>Tymián</t>
  </si>
  <si>
    <t>Citron</t>
  </si>
  <si>
    <t>Pstruh v alobalu</t>
  </si>
  <si>
    <t>Citrón</t>
  </si>
  <si>
    <t>Alobal</t>
  </si>
  <si>
    <t>Odečet hmotnosti alobalu</t>
  </si>
  <si>
    <t>Olej slunečnicový</t>
  </si>
  <si>
    <t>Pečené brambory</t>
  </si>
  <si>
    <t>Šťouchané brambory</t>
  </si>
  <si>
    <t>Kuřecí palička chlazená 1 ks</t>
  </si>
  <si>
    <t>Vepřová krkovice b.k.</t>
  </si>
  <si>
    <t>Nové koření</t>
  </si>
  <si>
    <t>Bobkový list</t>
  </si>
  <si>
    <t>Pepř celý</t>
  </si>
  <si>
    <t>Zelí bílé hlávkové</t>
  </si>
  <si>
    <t>Mrkev</t>
  </si>
  <si>
    <t>Ocet</t>
  </si>
  <si>
    <t>Cukr</t>
  </si>
  <si>
    <t>Jablečný štrůdl</t>
  </si>
  <si>
    <t>Listové těsto</t>
  </si>
  <si>
    <t>Jablka</t>
  </si>
  <si>
    <t>Rozinky</t>
  </si>
  <si>
    <t>Cukr moučka</t>
  </si>
  <si>
    <t>Skořice</t>
  </si>
  <si>
    <t>Šlehačka</t>
  </si>
  <si>
    <t>Sýrovo-česneková pomazánka s chlebem</t>
  </si>
  <si>
    <t>Eidam 30%</t>
  </si>
  <si>
    <t>Majonéza</t>
  </si>
  <si>
    <t>Tavený sýr</t>
  </si>
  <si>
    <t>Chléb Šumava</t>
  </si>
  <si>
    <t>Vepřové koleno přední s kostí</t>
  </si>
  <si>
    <t>Zelný salát</t>
  </si>
  <si>
    <t>Halal</t>
  </si>
  <si>
    <t>Kuřecí steak</t>
  </si>
  <si>
    <t>Kuřecí stehno, kostky - špíz</t>
  </si>
  <si>
    <t>Špejle</t>
  </si>
  <si>
    <t>Vegetariánské těstoviny</t>
  </si>
  <si>
    <t>Těstoviny Pene</t>
  </si>
  <si>
    <t>Rajčata loupaná v plechu</t>
  </si>
  <si>
    <t>Bazalka sušená</t>
  </si>
  <si>
    <t>Řeznictví Provazník</t>
  </si>
  <si>
    <t>Bazalka</t>
  </si>
  <si>
    <t>396555</t>
  </si>
  <si>
    <t>Losos + kuřecí palička</t>
  </si>
  <si>
    <t>Pstruh kuchaný 200-250 g mražený</t>
  </si>
  <si>
    <t>bez DPH
Cena za jednu porci:</t>
  </si>
  <si>
    <t>Bez DPH
Cena za jednu porci:</t>
  </si>
  <si>
    <t>Petržel sušená</t>
  </si>
  <si>
    <t>Celer</t>
  </si>
  <si>
    <t>Petržel kořenová</t>
  </si>
  <si>
    <t>240142</t>
  </si>
  <si>
    <t>Kuře čtvrtka</t>
  </si>
  <si>
    <t>Kachní čtvrtka</t>
  </si>
  <si>
    <t>467165</t>
  </si>
  <si>
    <t>Vepřová kolena dobře omyjeme a vložíme do tlakového hrnce. Vaříme je společně s bobkovým listem, celým černým pepřem, jalovcem, novým kořením a solí, po dobu jedné hodiny.Kolena vyjmeme, naporcujeme, nařízneme křížem kůži a vložíme je do pekáče.Rozetřeme česnek a smícháme ho s dalšími surovinami na marinádu. Kolena potřeme marinádou, kterou naředíme trochou vývaru z vaření kolen.Pečeme pomalu ve středně vyhřáté troubě a často přeléváme. Nejprve zbylou marinádou a poté výpekem.</t>
  </si>
  <si>
    <t>Filet necháme s kůží. Z obou stran potřeme olejem, citronovou šťávou, posolíme, okořeníme. Necháme v lednici rozležet, stačí pár hodin. Grilujeme v zavíracím roštu, aby se ryba nerozpadla. Můžeme grilovat také v alobalu.</t>
  </si>
  <si>
    <t>Pstruhy očistíme, osolíme na povrchu i vevnitř, pokapeme citrónovou šťávou. Dovnitř dáme petržel a kousek másla.
 Utrhneme si potřebné množství alobalu, kápneme na něj olej, položíme naplněného pstruha a zabalíme, tak, aby spoje byly směrem nahoru. Zabalené pstruhy dáme na plech nebo pekáč.
 Pečeme při 200 stupních cca 40 minut. Pak pstruhy rozbalíme, a pečeme ješte dokřupava cca 10 minut.</t>
  </si>
  <si>
    <t>Každou z kuřecích paliček třikrát příčně nakrojíme. Smícháme sůl, pepř, slunečnicový olej. Ve směsi důkladně obalíme kuřecí paličky a necháme půlhodiny marinovat přes noc v lednici.Troubu zahřejeme na 200 °C, horkovzdušnou na 180°C. Maso dáme na pekáček vyložený pečícím papírem a pečeme 35 minut, občas obrátíme.                                                                                                        Filet lososa necháme s kůží. Z obou stran potřeme olejem, citronovou šťávou, posolíme, okořeníme. Necháme v lednici rozležet, stačí pár hodin. Grilujeme v zavíracím roštu, aby se ryba nerozpadla. Můžeme grilovat také v alobalu.</t>
  </si>
  <si>
    <t>Maso osolte, vložte do pekáčku a potřete směsí a hojně opepřete. Podlijte pivem nebo vodou, jen nepatrně, aby maso neplavalo, přiklopte a vložte do trouby rozpálené na 200 stupňů. Podle potřeby podlévejte a maso alespoň jednou obraťte, aby se chuť směsi dostala do výpeku. Asi po 45 min. maso odkryjte a nechte opéct. Ještě můžete během pečení polévat výpekem.</t>
  </si>
  <si>
    <t xml:space="preserve">Na maso poklademe nové koření, bobkový list a pepř celý. Přikryjeme a pečeme pozvolna na 180°C. Během pečení maso obracíme a poléváme výpekem. Je- li třeba, přidáme trochu vody. 
Pečeme asi 60-70 minut. Upečené maso necháme ještě asi 10 minut odpočívat.
</t>
  </si>
  <si>
    <t>Zelí a mrkev nakrájíme najemno.
Litrem vařící vody pokrájené zelí zalijeme a přibližně 5 minut ho pod pokličkou spařujeme.
Pak ho propláchneme studenou vodou a necháme pořádně v cedníku okapat.
Nakonec ho vložíme do mísy, přidáme cukr, olej, ocet a sůl podle chuti, promícháme a dáme do lednice na nejméně dvě hodiny odležet.</t>
  </si>
  <si>
    <t>Předehřejeme troubu na 200 °C.
Nakrájíme brambory na čtvrtky a dáme je plech.
Přidáme grilovací koření a polijeme troškou oleje.
Dáme péct do trouby na 30 minut.</t>
  </si>
  <si>
    <t xml:space="preserve">Brambory oloupeme, omyjeme, nakrájíme na kostičky a dáme do hrnce. Zalijeme je vodou a osolíme.
Cibuli oloupeme a nakrájíme na kostičky. V pánvi na oleji osmahneme cibuli dozlatova.
Brambory uvaříme do měkka, slijeme z nich vodu a rozšťoucháme je.
Přidáme osmahnutou cibuli a zamícháme. </t>
  </si>
  <si>
    <t>Jablka oloupeme, nastrouháme nahrubo a vymačkáme z nich šťávu. Nastrouhaná jablka smícháme s vanilkovým cukrem, skořicí a rozinkami. Plát listového těsta rozbalíme a doprostřed rozprostřeme jablečnou směs. Směs plátem těsta zabalíme a hlavně pořádně spojíme konce těsta. Závin dáme péct na 170 °C cca 25 minut, dokud těsto nezezlátne. Jablečný závin podáváme ozdobený šlehačkou.</t>
  </si>
  <si>
    <t xml:space="preserve">Stroužky česneku oloupeme, prolisujeme a utřeme se solí.
Do mísy dáme tavený sýr a majonézu.
Vyšleháme elektrickým šlehačem (zhruba 3-4 minuty) do husté světlé pěny. Poté zašleháme česnek se solí.
Přidáme nahrubo nastrouhaný sýr a už nešleháme, pouze důkladně zamícháme, nejlépe stěrkou. Podáváme s chlebem Šumava. </t>
  </si>
  <si>
    <t>Zeleninu včetně brambor a cibule oškrábeme a nakrájíme na malé kostičky, přidáme cibuli, česnek.
Poté přidáme, žampiony, majoránku, sůl, pepř, vývar (masox) a podlijeme vodou. Vaříme za občasného míchání, dokud vše nezměkne, případně podléváme další vodou.</t>
  </si>
  <si>
    <t>Kuřecí čtvrtky zakápneme olejem, posypeme kořením a solí, které hezky do kuřete vmasírujeme.
Dáme do pekáčku, přidáme polovinu másla a necháme 2 hodiny uležet
Přikryté pečeme v troubě na 200 °C, po půl hodině podlejeme trochou vody a přikryté pečeme asi 1 hodinu, během pečení poléváme výpekem a dle potřeby přidáme vodu.
Po hodině pečení odkryjeme, snížíme teplotu na 180 °C a necháme zezlátnout, teď poléváme výpekem častěji.</t>
  </si>
  <si>
    <t xml:space="preserve">Troubu předehřejeme na 220 °C. Velký plech nebo vyložíme pečicím papírem.
Všechnu zeleninu nakrájíme na stejně velké kusy. 
Zeleninu ochutíme solí a pepřem a pokapeme olejem. Přikryjeme alobalem a pečeme 20 minut.
Po 20 minutách pečení alobal sundáme a dopékáme dalších 20–30 minut. </t>
  </si>
  <si>
    <t xml:space="preserve">Penne vaříme za občasného míchání asi 12 minut v osolené vroucí vodě, poté scedíme přes sítko. Těstoviny vaříme „al dente“, tzn. ne úplně doměkka, protože je dokončíme později v pánvi s omáčkou.Následně do pánve přidáme rajčata z plechovky a nakrájenou cuketu, zasypeme bazalkou a vaříme dalších 6–8 minut na mírném až středním plameni.
</t>
  </si>
  <si>
    <t xml:space="preserve">Omytá a osušená stehna posypeme solí a kmínem a poskládáme do pekáčku kůží dolů. Pečeme přikryté v troubě vyhřáté na 120 °C 3 hodiny. Potom stehna obrátíme, přiklopíme a pečeme další 1 hodinu, zvyšíme teplotu na 160 °C a pečeme odkryté dozlatova ještě 1 hodinu. </t>
  </si>
  <si>
    <t>Steaky naklepeme, posypeme pepřem a solí a promícháme s olejem.
Na pánvi zprudka osmažíme dozlatova, z každé strany asi čtyři minuty. Vyjmeme a necháme chvíli odpočívat.
Před podáváním lehce dosolíme.                                                                                                                                                  Špízy:Maso očistíme, nakrájíme na stejně velké kusy.
Papriky omyjeme, vykrojíme semeníky a nakrájíme je na kousky. Cibuli oloupeme a také nakrájíme na menší kusy. Na špejle střídavě napichujeme maso, kousky papriky a cibule.
Grilujeme v troubě.</t>
  </si>
  <si>
    <t xml:space="preserve">Pro přípravu halal pokrmů používáme kuřecí stehenní Halal od certifikovaného dodavatele. </t>
  </si>
  <si>
    <t xml:space="preserve">  </t>
  </si>
  <si>
    <t>Řeznictví</t>
  </si>
  <si>
    <t>Halal meat</t>
  </si>
  <si>
    <t>Falafel</t>
  </si>
  <si>
    <t>Paprika zelená</t>
  </si>
  <si>
    <t>Hmotnost 1 miska: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</si>
</sst>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Kč&quot;;[Red]\-#,##0.00\ &quot;Kč&quot;"/>
    <numFmt numFmtId="164" formatCode="#,###&quot; g&quot;"/>
    <numFmt numFmtId="165" formatCode="#,##0.0#"/>
    <numFmt numFmtId="166" formatCode="#,##0.0"/>
    <numFmt numFmtId="167" formatCode="#,##0.00&quot; Kč&quot;"/>
  </numFmts>
  <fonts count="12" x14ac:knownFonts="1">
    <font>
      <sz val="10"/>
      <color indexed="8"/>
      <name val="Arial CE"/>
    </font>
    <font>
      <b/>
      <sz val="20"/>
      <color indexed="8"/>
      <name val="Arial"/>
      <family val="2"/>
      <charset val="238"/>
    </font>
    <font>
      <b/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b/>
      <sz val="14"/>
      <color indexed="8"/>
      <name val="Arial"/>
      <family val="2"/>
      <charset val="238"/>
    </font>
    <font>
      <b/>
      <sz val="11"/>
      <color indexed="8"/>
      <name val="Arial"/>
      <family val="2"/>
      <charset val="238"/>
    </font>
    <font>
      <b/>
      <sz val="10"/>
      <color indexed="14"/>
      <name val="Arial"/>
      <family val="2"/>
      <charset val="238"/>
    </font>
    <font>
      <sz val="7"/>
      <color indexed="8"/>
      <name val="Arial"/>
      <family val="2"/>
      <charset val="238"/>
    </font>
    <font>
      <sz val="11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0"/>
      <color rgb="FF373C41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114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medium">
        <color indexed="8"/>
      </right>
      <top style="thin">
        <color indexed="13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 style="thin">
        <color indexed="10"/>
      </top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64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/>
      <top style="thin">
        <color indexed="10"/>
      </top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64"/>
      </top>
      <bottom style="medium">
        <color indexed="8"/>
      </bottom>
      <diagonal/>
    </border>
    <border>
      <left style="thin">
        <color indexed="10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64"/>
      </right>
      <top style="medium">
        <color indexed="8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8"/>
      </bottom>
      <diagonal/>
    </border>
    <border>
      <left style="medium">
        <color indexed="64"/>
      </left>
      <right style="thin">
        <color indexed="10"/>
      </right>
      <top style="medium">
        <color indexed="8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/>
      <bottom style="medium">
        <color indexed="8"/>
      </bottom>
      <diagonal/>
    </border>
    <border>
      <left style="thin">
        <color indexed="10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252">
    <xf numFmtId="0" fontId="0" fillId="0" borderId="0" xfId="0"/>
    <xf numFmtId="0" fontId="0" fillId="0" borderId="0" xfId="0" applyNumberFormat="1"/>
    <xf numFmtId="0" fontId="3" fillId="3" borderId="7" xfId="0" applyNumberFormat="1" applyFont="1" applyFill="1" applyBorder="1" applyAlignment="1">
      <alignment horizontal="center" vertical="center"/>
    </xf>
    <xf numFmtId="164" fontId="2" fillId="4" borderId="10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 wrapText="1"/>
    </xf>
    <xf numFmtId="0" fontId="3" fillId="2" borderId="27" xfId="0" applyNumberFormat="1" applyFont="1" applyFill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 vertical="center"/>
    </xf>
    <xf numFmtId="2" fontId="3" fillId="2" borderId="27" xfId="0" applyNumberFormat="1" applyFont="1" applyFill="1" applyBorder="1" applyAlignment="1">
      <alignment horizontal="center" vertical="center"/>
    </xf>
    <xf numFmtId="2" fontId="3" fillId="3" borderId="27" xfId="0" applyNumberFormat="1" applyFont="1" applyFill="1" applyBorder="1" applyAlignment="1">
      <alignment horizontal="center" vertical="center"/>
    </xf>
    <xf numFmtId="165" fontId="3" fillId="2" borderId="27" xfId="0" applyNumberFormat="1" applyFont="1" applyFill="1" applyBorder="1" applyAlignment="1">
      <alignment horizontal="center" vertical="center"/>
    </xf>
    <xf numFmtId="2" fontId="3" fillId="2" borderId="28" xfId="0" applyNumberFormat="1" applyFont="1" applyFill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2" fontId="3" fillId="2" borderId="29" xfId="0" applyNumberFormat="1" applyFont="1" applyFill="1" applyBorder="1" applyAlignment="1">
      <alignment horizontal="center" vertical="center"/>
    </xf>
    <xf numFmtId="0" fontId="3" fillId="0" borderId="27" xfId="0" applyNumberFormat="1" applyFont="1" applyBorder="1" applyAlignment="1">
      <alignment horizontal="center" vertical="center"/>
    </xf>
    <xf numFmtId="166" fontId="3" fillId="2" borderId="27" xfId="0" applyNumberFormat="1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4" fontId="3" fillId="2" borderId="33" xfId="0" applyNumberFormat="1" applyFont="1" applyFill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/>
    </xf>
    <xf numFmtId="2" fontId="3" fillId="2" borderId="33" xfId="0" applyNumberFormat="1" applyFont="1" applyFill="1" applyBorder="1" applyAlignment="1">
      <alignment horizontal="center" vertical="center"/>
    </xf>
    <xf numFmtId="2" fontId="3" fillId="3" borderId="33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3" fontId="2" fillId="4" borderId="7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 wrapText="1"/>
    </xf>
    <xf numFmtId="167" fontId="6" fillId="2" borderId="7" xfId="0" applyNumberFormat="1" applyFont="1" applyFill="1" applyBorder="1" applyAlignment="1">
      <alignment horizontal="center" vertical="center" wrapText="1"/>
    </xf>
    <xf numFmtId="0" fontId="6" fillId="4" borderId="7" xfId="0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49" fontId="3" fillId="2" borderId="36" xfId="0" applyNumberFormat="1" applyFont="1" applyFill="1" applyBorder="1" applyAlignment="1">
      <alignment horizontal="center" vertical="center" wrapText="1"/>
    </xf>
    <xf numFmtId="49" fontId="2" fillId="3" borderId="37" xfId="0" applyNumberFormat="1" applyFont="1" applyFill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/>
    </xf>
    <xf numFmtId="3" fontId="3" fillId="2" borderId="39" xfId="0" applyNumberFormat="1" applyFont="1" applyFill="1" applyBorder="1" applyAlignment="1">
      <alignment horizontal="center" vertical="center"/>
    </xf>
    <xf numFmtId="4" fontId="3" fillId="2" borderId="39" xfId="0" applyNumberFormat="1" applyFont="1" applyFill="1" applyBorder="1" applyAlignment="1">
      <alignment horizontal="center" vertical="center"/>
    </xf>
    <xf numFmtId="2" fontId="3" fillId="2" borderId="39" xfId="0" applyNumberFormat="1" applyFont="1" applyFill="1" applyBorder="1" applyAlignment="1">
      <alignment horizontal="center" vertical="center"/>
    </xf>
    <xf numFmtId="2" fontId="3" fillId="3" borderId="39" xfId="0" applyNumberFormat="1" applyFont="1" applyFill="1" applyBorder="1" applyAlignment="1">
      <alignment horizontal="center" vertical="center"/>
    </xf>
    <xf numFmtId="4" fontId="3" fillId="2" borderId="27" xfId="0" applyNumberFormat="1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9" xfId="0" applyNumberFormat="1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6" xfId="0" applyNumberFormat="1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3" fontId="2" fillId="4" borderId="46" xfId="0" applyNumberFormat="1" applyFont="1" applyFill="1" applyBorder="1" applyAlignment="1">
      <alignment horizontal="center" vertical="center"/>
    </xf>
    <xf numFmtId="49" fontId="6" fillId="2" borderId="46" xfId="0" applyNumberFormat="1" applyFont="1" applyFill="1" applyBorder="1" applyAlignment="1">
      <alignment horizontal="center" vertical="center" wrapText="1"/>
    </xf>
    <xf numFmtId="0" fontId="3" fillId="0" borderId="50" xfId="0" applyNumberFormat="1" applyFont="1" applyBorder="1" applyAlignment="1">
      <alignment horizontal="center" vertical="center"/>
    </xf>
    <xf numFmtId="3" fontId="3" fillId="2" borderId="50" xfId="0" applyNumberFormat="1" applyFont="1" applyFill="1" applyBorder="1" applyAlignment="1">
      <alignment horizontal="center" vertical="center"/>
    </xf>
    <xf numFmtId="2" fontId="3" fillId="2" borderId="50" xfId="0" applyNumberFormat="1" applyFont="1" applyFill="1" applyBorder="1" applyAlignment="1">
      <alignment horizontal="center" vertical="center"/>
    </xf>
    <xf numFmtId="2" fontId="3" fillId="3" borderId="51" xfId="0" applyNumberFormat="1" applyFont="1" applyFill="1" applyBorder="1" applyAlignment="1">
      <alignment horizontal="center" vertical="center"/>
    </xf>
    <xf numFmtId="2" fontId="3" fillId="3" borderId="53" xfId="0" applyNumberFormat="1" applyFont="1" applyFill="1" applyBorder="1" applyAlignment="1">
      <alignment horizontal="center" vertical="center"/>
    </xf>
    <xf numFmtId="2" fontId="3" fillId="3" borderId="55" xfId="0" applyNumberFormat="1" applyFont="1" applyFill="1" applyBorder="1" applyAlignment="1">
      <alignment horizontal="center" vertical="center"/>
    </xf>
    <xf numFmtId="0" fontId="2" fillId="4" borderId="59" xfId="0" applyFont="1" applyFill="1" applyBorder="1" applyAlignment="1">
      <alignment horizontal="center" vertical="center"/>
    </xf>
    <xf numFmtId="3" fontId="2" fillId="4" borderId="59" xfId="0" applyNumberFormat="1" applyFont="1" applyFill="1" applyBorder="1" applyAlignment="1">
      <alignment horizontal="center" vertical="center"/>
    </xf>
    <xf numFmtId="49" fontId="6" fillId="2" borderId="59" xfId="0" applyNumberFormat="1" applyFont="1" applyFill="1" applyBorder="1" applyAlignment="1">
      <alignment horizontal="center" vertical="center" wrapText="1"/>
    </xf>
    <xf numFmtId="167" fontId="6" fillId="2" borderId="60" xfId="0" applyNumberFormat="1" applyFont="1" applyFill="1" applyBorder="1" applyAlignment="1">
      <alignment horizontal="center" vertical="center" wrapText="1"/>
    </xf>
    <xf numFmtId="49" fontId="3" fillId="2" borderId="40" xfId="0" applyNumberFormat="1" applyFont="1" applyFill="1" applyBorder="1" applyAlignment="1">
      <alignment horizontal="center" vertical="center" wrapText="1"/>
    </xf>
    <xf numFmtId="49" fontId="3" fillId="2" borderId="64" xfId="0" applyNumberFormat="1" applyFont="1" applyFill="1" applyBorder="1" applyAlignment="1">
      <alignment horizontal="center" vertical="center" wrapText="1"/>
    </xf>
    <xf numFmtId="49" fontId="3" fillId="0" borderId="65" xfId="0" applyNumberFormat="1" applyFont="1" applyBorder="1" applyAlignment="1">
      <alignment horizontal="center" vertical="center"/>
    </xf>
    <xf numFmtId="3" fontId="3" fillId="2" borderId="65" xfId="0" applyNumberFormat="1" applyFont="1" applyFill="1" applyBorder="1" applyAlignment="1">
      <alignment horizontal="center" vertical="center"/>
    </xf>
    <xf numFmtId="4" fontId="3" fillId="2" borderId="65" xfId="0" applyNumberFormat="1" applyFont="1" applyFill="1" applyBorder="1" applyAlignment="1">
      <alignment horizontal="center" vertical="center"/>
    </xf>
    <xf numFmtId="2" fontId="3" fillId="2" borderId="65" xfId="0" applyNumberFormat="1" applyFont="1" applyFill="1" applyBorder="1" applyAlignment="1">
      <alignment horizontal="center" vertical="center"/>
    </xf>
    <xf numFmtId="0" fontId="3" fillId="2" borderId="65" xfId="0" applyNumberFormat="1" applyFont="1" applyFill="1" applyBorder="1" applyAlignment="1">
      <alignment horizontal="center" vertical="center"/>
    </xf>
    <xf numFmtId="0" fontId="3" fillId="0" borderId="65" xfId="0" applyNumberFormat="1" applyFont="1" applyBorder="1" applyAlignment="1">
      <alignment horizontal="center" vertical="center"/>
    </xf>
    <xf numFmtId="49" fontId="3" fillId="0" borderId="67" xfId="0" applyNumberFormat="1" applyFont="1" applyBorder="1" applyAlignment="1">
      <alignment horizontal="center" vertical="center"/>
    </xf>
    <xf numFmtId="3" fontId="3" fillId="2" borderId="67" xfId="0" applyNumberFormat="1" applyFont="1" applyFill="1" applyBorder="1" applyAlignment="1">
      <alignment horizontal="center" vertical="center"/>
    </xf>
    <xf numFmtId="4" fontId="3" fillId="2" borderId="67" xfId="0" applyNumberFormat="1" applyFont="1" applyFill="1" applyBorder="1" applyAlignment="1">
      <alignment horizontal="center" vertical="center"/>
    </xf>
    <xf numFmtId="2" fontId="3" fillId="2" borderId="67" xfId="0" applyNumberFormat="1" applyFont="1" applyFill="1" applyBorder="1" applyAlignment="1">
      <alignment horizontal="center" vertical="center"/>
    </xf>
    <xf numFmtId="2" fontId="3" fillId="3" borderId="68" xfId="0" applyNumberFormat="1" applyFont="1" applyFill="1" applyBorder="1" applyAlignment="1">
      <alignment horizontal="center" vertical="center"/>
    </xf>
    <xf numFmtId="2" fontId="3" fillId="3" borderId="70" xfId="0" applyNumberFormat="1" applyFont="1" applyFill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3" fontId="3" fillId="2" borderId="72" xfId="0" applyNumberFormat="1" applyFont="1" applyFill="1" applyBorder="1" applyAlignment="1">
      <alignment horizontal="center" vertical="center"/>
    </xf>
    <xf numFmtId="4" fontId="3" fillId="2" borderId="72" xfId="0" applyNumberFormat="1" applyFont="1" applyFill="1" applyBorder="1" applyAlignment="1">
      <alignment horizontal="center" vertical="center"/>
    </xf>
    <xf numFmtId="2" fontId="3" fillId="2" borderId="72" xfId="0" applyNumberFormat="1" applyFont="1" applyFill="1" applyBorder="1" applyAlignment="1">
      <alignment horizontal="center" vertical="center"/>
    </xf>
    <xf numFmtId="2" fontId="3" fillId="3" borderId="73" xfId="0" applyNumberFormat="1" applyFont="1" applyFill="1" applyBorder="1" applyAlignment="1">
      <alignment horizontal="center" vertical="center"/>
    </xf>
    <xf numFmtId="0" fontId="9" fillId="0" borderId="65" xfId="0" applyNumberFormat="1" applyFont="1" applyBorder="1" applyAlignment="1">
      <alignment horizontal="center" vertical="center"/>
    </xf>
    <xf numFmtId="0" fontId="9" fillId="0" borderId="27" xfId="0" applyNumberFormat="1" applyFont="1" applyBorder="1" applyAlignment="1">
      <alignment horizontal="center" vertical="center"/>
    </xf>
    <xf numFmtId="164" fontId="2" fillId="4" borderId="12" xfId="0" applyNumberFormat="1" applyFont="1" applyFill="1" applyBorder="1" applyAlignment="1">
      <alignment horizontal="center" vertical="center"/>
    </xf>
    <xf numFmtId="0" fontId="3" fillId="4" borderId="80" xfId="0" applyFont="1" applyFill="1" applyBorder="1" applyAlignment="1">
      <alignment horizontal="center" vertical="center"/>
    </xf>
    <xf numFmtId="49" fontId="2" fillId="3" borderId="84" xfId="0" applyNumberFormat="1" applyFont="1" applyFill="1" applyBorder="1" applyAlignment="1">
      <alignment horizontal="center" vertical="center"/>
    </xf>
    <xf numFmtId="2" fontId="3" fillId="3" borderId="86" xfId="0" applyNumberFormat="1" applyFont="1" applyFill="1" applyBorder="1" applyAlignment="1">
      <alignment horizontal="center" vertical="center"/>
    </xf>
    <xf numFmtId="167" fontId="6" fillId="2" borderId="87" xfId="0" applyNumberFormat="1" applyFont="1" applyFill="1" applyBorder="1" applyAlignment="1">
      <alignment horizontal="center" vertical="center" wrapText="1"/>
    </xf>
    <xf numFmtId="0" fontId="3" fillId="2" borderId="87" xfId="0" applyFont="1" applyFill="1" applyBorder="1" applyAlignment="1">
      <alignment horizontal="center" vertical="center"/>
    </xf>
    <xf numFmtId="49" fontId="2" fillId="3" borderId="93" xfId="0" applyNumberFormat="1" applyFont="1" applyFill="1" applyBorder="1" applyAlignment="1">
      <alignment horizontal="center" vertical="center"/>
    </xf>
    <xf numFmtId="49" fontId="2" fillId="3" borderId="102" xfId="0" applyNumberFormat="1" applyFont="1" applyFill="1" applyBorder="1" applyAlignment="1">
      <alignment horizontal="center" vertical="center"/>
    </xf>
    <xf numFmtId="167" fontId="6" fillId="2" borderId="104" xfId="0" applyNumberFormat="1" applyFont="1" applyFill="1" applyBorder="1" applyAlignment="1">
      <alignment horizontal="center" vertical="center" wrapText="1"/>
    </xf>
    <xf numFmtId="49" fontId="2" fillId="3" borderId="105" xfId="0" applyNumberFormat="1" applyFont="1" applyFill="1" applyBorder="1" applyAlignment="1">
      <alignment horizontal="center" vertical="center"/>
    </xf>
    <xf numFmtId="0" fontId="3" fillId="0" borderId="65" xfId="0" applyNumberFormat="1" applyFont="1" applyBorder="1" applyAlignment="1">
      <alignment horizontal="center"/>
    </xf>
    <xf numFmtId="3" fontId="3" fillId="2" borderId="65" xfId="0" applyNumberFormat="1" applyFont="1" applyFill="1" applyBorder="1" applyAlignment="1">
      <alignment horizontal="center"/>
    </xf>
    <xf numFmtId="2" fontId="3" fillId="2" borderId="65" xfId="0" applyNumberFormat="1" applyFont="1" applyFill="1" applyBorder="1" applyAlignment="1">
      <alignment horizontal="center"/>
    </xf>
    <xf numFmtId="49" fontId="3" fillId="0" borderId="65" xfId="0" applyNumberFormat="1" applyFont="1" applyBorder="1" applyAlignment="1">
      <alignment horizontal="center"/>
    </xf>
    <xf numFmtId="0" fontId="3" fillId="2" borderId="65" xfId="0" applyNumberFormat="1" applyFont="1" applyFill="1" applyBorder="1" applyAlignment="1">
      <alignment horizontal="center"/>
    </xf>
    <xf numFmtId="0" fontId="3" fillId="0" borderId="67" xfId="0" applyNumberFormat="1" applyFont="1" applyBorder="1" applyAlignment="1">
      <alignment horizontal="center"/>
    </xf>
    <xf numFmtId="3" fontId="3" fillId="2" borderId="67" xfId="0" applyNumberFormat="1" applyFont="1" applyFill="1" applyBorder="1" applyAlignment="1">
      <alignment horizontal="center"/>
    </xf>
    <xf numFmtId="2" fontId="3" fillId="2" borderId="67" xfId="0" applyNumberFormat="1" applyFont="1" applyFill="1" applyBorder="1" applyAlignment="1">
      <alignment horizontal="center"/>
    </xf>
    <xf numFmtId="2" fontId="3" fillId="3" borderId="68" xfId="0" applyNumberFormat="1" applyFont="1" applyFill="1" applyBorder="1" applyAlignment="1">
      <alignment horizontal="center"/>
    </xf>
    <xf numFmtId="2" fontId="3" fillId="3" borderId="70" xfId="0" applyNumberFormat="1" applyFont="1" applyFill="1" applyBorder="1" applyAlignment="1">
      <alignment horizontal="center"/>
    </xf>
    <xf numFmtId="0" fontId="3" fillId="2" borderId="72" xfId="0" applyNumberFormat="1" applyFont="1" applyFill="1" applyBorder="1" applyAlignment="1">
      <alignment horizontal="center"/>
    </xf>
    <xf numFmtId="3" fontId="3" fillId="2" borderId="72" xfId="0" applyNumberFormat="1" applyFont="1" applyFill="1" applyBorder="1" applyAlignment="1">
      <alignment horizontal="center"/>
    </xf>
    <xf numFmtId="2" fontId="3" fillId="2" borderId="72" xfId="0" applyNumberFormat="1" applyFont="1" applyFill="1" applyBorder="1" applyAlignment="1">
      <alignment horizontal="center"/>
    </xf>
    <xf numFmtId="3" fontId="9" fillId="2" borderId="67" xfId="0" applyNumberFormat="1" applyFont="1" applyFill="1" applyBorder="1" applyAlignment="1">
      <alignment horizontal="center"/>
    </xf>
    <xf numFmtId="3" fontId="9" fillId="2" borderId="65" xfId="0" applyNumberFormat="1" applyFont="1" applyFill="1" applyBorder="1" applyAlignment="1">
      <alignment horizontal="center"/>
    </xf>
    <xf numFmtId="3" fontId="9" fillId="2" borderId="72" xfId="0" applyNumberFormat="1" applyFont="1" applyFill="1" applyBorder="1" applyAlignment="1">
      <alignment horizontal="center"/>
    </xf>
    <xf numFmtId="8" fontId="11" fillId="5" borderId="73" xfId="0" applyNumberFormat="1" applyFont="1" applyFill="1" applyBorder="1" applyAlignment="1">
      <alignment horizontal="center"/>
    </xf>
    <xf numFmtId="0" fontId="2" fillId="4" borderId="112" xfId="0" applyFont="1" applyFill="1" applyBorder="1" applyAlignment="1">
      <alignment horizontal="center" vertical="center"/>
    </xf>
    <xf numFmtId="3" fontId="2" fillId="4" borderId="112" xfId="0" applyNumberFormat="1" applyFont="1" applyFill="1" applyBorder="1" applyAlignment="1">
      <alignment horizontal="center" vertical="center"/>
    </xf>
    <xf numFmtId="0" fontId="7" fillId="2" borderId="112" xfId="0" applyFont="1" applyFill="1" applyBorder="1" applyAlignment="1">
      <alignment horizontal="center" vertical="center" wrapText="1"/>
    </xf>
    <xf numFmtId="0" fontId="3" fillId="2" borderId="113" xfId="0" applyFont="1" applyFill="1" applyBorder="1" applyAlignment="1">
      <alignment horizontal="center" vertical="center"/>
    </xf>
    <xf numFmtId="49" fontId="2" fillId="4" borderId="79" xfId="0" applyNumberFormat="1" applyFont="1" applyFill="1" applyBorder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/>
    <xf numFmtId="0" fontId="0" fillId="0" borderId="12" xfId="0" applyBorder="1"/>
    <xf numFmtId="0" fontId="3" fillId="2" borderId="14" xfId="0" applyFont="1" applyFill="1" applyBorder="1" applyAlignment="1">
      <alignment horizontal="center" vertical="center"/>
    </xf>
    <xf numFmtId="0" fontId="0" fillId="0" borderId="14" xfId="0" applyBorder="1"/>
    <xf numFmtId="0" fontId="0" fillId="2" borderId="14" xfId="0" applyFill="1" applyBorder="1"/>
    <xf numFmtId="0" fontId="0" fillId="2" borderId="88" xfId="0" applyFill="1" applyBorder="1"/>
    <xf numFmtId="0" fontId="8" fillId="2" borderId="90" xfId="0" applyFont="1" applyFill="1" applyBorder="1" applyAlignment="1">
      <alignment horizontal="center" vertical="center" wrapText="1"/>
    </xf>
    <xf numFmtId="0" fontId="0" fillId="0" borderId="90" xfId="0" applyBorder="1"/>
    <xf numFmtId="0" fontId="0" fillId="2" borderId="90" xfId="0" applyFill="1" applyBorder="1"/>
    <xf numFmtId="0" fontId="0" fillId="2" borderId="91" xfId="0" applyFill="1" applyBorder="1"/>
    <xf numFmtId="49" fontId="3" fillId="2" borderId="89" xfId="0" applyNumberFormat="1" applyFont="1" applyFill="1" applyBorder="1" applyAlignment="1">
      <alignment horizontal="center" vertical="center" wrapText="1"/>
    </xf>
    <xf numFmtId="49" fontId="3" fillId="2" borderId="81" xfId="0" applyNumberFormat="1" applyFont="1" applyFill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2" borderId="31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49" fontId="3" fillId="0" borderId="85" xfId="0" applyNumberFormat="1" applyFont="1" applyBorder="1" applyAlignment="1">
      <alignment horizontal="center" vertical="center"/>
    </xf>
    <xf numFmtId="0" fontId="3" fillId="2" borderId="38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49" fontId="3" fillId="0" borderId="52" xfId="0" applyNumberFormat="1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49" fontId="9" fillId="0" borderId="52" xfId="0" applyNumberFormat="1" applyFont="1" applyBorder="1" applyAlignment="1">
      <alignment horizontal="center" vertic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3" fillId="0" borderId="52" xfId="0" applyFont="1" applyBorder="1" applyAlignment="1">
      <alignment horizontal="center" vertical="center"/>
    </xf>
    <xf numFmtId="49" fontId="1" fillId="2" borderId="74" xfId="0" applyNumberFormat="1" applyFont="1" applyFill="1" applyBorder="1" applyAlignment="1">
      <alignment horizontal="center" vertical="center"/>
    </xf>
    <xf numFmtId="0" fontId="1" fillId="2" borderId="75" xfId="0" applyFont="1" applyFill="1" applyBorder="1" applyAlignment="1">
      <alignment horizontal="center" vertical="center"/>
    </xf>
    <xf numFmtId="0" fontId="1" fillId="2" borderId="76" xfId="0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wrapText="1"/>
    </xf>
    <xf numFmtId="0" fontId="2" fillId="2" borderId="8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8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 wrapText="1"/>
    </xf>
    <xf numFmtId="49" fontId="4" fillId="2" borderId="77" xfId="0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49" fontId="5" fillId="2" borderId="4" xfId="0" applyNumberFormat="1" applyFont="1" applyFill="1" applyBorder="1" applyAlignment="1">
      <alignment horizontal="center" vertical="center" wrapText="1"/>
    </xf>
    <xf numFmtId="0" fontId="0" fillId="2" borderId="78" xfId="0" applyFill="1" applyBorder="1"/>
    <xf numFmtId="49" fontId="3" fillId="2" borderId="4" xfId="0" applyNumberFormat="1" applyFont="1" applyFill="1" applyBorder="1" applyAlignment="1">
      <alignment horizontal="center" vertical="center"/>
    </xf>
    <xf numFmtId="49" fontId="2" fillId="2" borderId="77" xfId="0" applyNumberFormat="1" applyFont="1" applyFill="1" applyBorder="1" applyAlignment="1">
      <alignment horizontal="center" vertical="center"/>
    </xf>
    <xf numFmtId="0" fontId="8" fillId="2" borderId="96" xfId="0" applyFont="1" applyFill="1" applyBorder="1" applyAlignment="1">
      <alignment horizontal="center" vertical="center" wrapText="1"/>
    </xf>
    <xf numFmtId="0" fontId="0" fillId="0" borderId="96" xfId="0" applyBorder="1"/>
    <xf numFmtId="0" fontId="0" fillId="2" borderId="96" xfId="0" applyFill="1" applyBorder="1"/>
    <xf numFmtId="0" fontId="0" fillId="2" borderId="97" xfId="0" applyFill="1" applyBorder="1"/>
    <xf numFmtId="0" fontId="3" fillId="2" borderId="95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2" borderId="2" xfId="0" applyFill="1" applyBorder="1"/>
    <xf numFmtId="0" fontId="0" fillId="2" borderId="94" xfId="0" applyFill="1" applyBorder="1"/>
    <xf numFmtId="49" fontId="3" fillId="2" borderId="83" xfId="0" applyNumberFormat="1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9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49" fontId="3" fillId="0" borderId="69" xfId="0" applyNumberFormat="1" applyFont="1" applyBorder="1" applyAlignment="1">
      <alignment horizontal="center"/>
    </xf>
    <xf numFmtId="0" fontId="3" fillId="2" borderId="65" xfId="0" applyFont="1" applyFill="1" applyBorder="1" applyAlignment="1">
      <alignment horizontal="center"/>
    </xf>
    <xf numFmtId="49" fontId="9" fillId="0" borderId="69" xfId="0" applyNumberFormat="1" applyFont="1" applyBorder="1" applyAlignment="1">
      <alignment horizontal="center"/>
    </xf>
    <xf numFmtId="0" fontId="9" fillId="2" borderId="65" xfId="0" applyFont="1" applyFill="1" applyBorder="1" applyAlignment="1">
      <alignment horizontal="center"/>
    </xf>
    <xf numFmtId="49" fontId="2" fillId="4" borderId="103" xfId="0" applyNumberFormat="1" applyFont="1" applyFill="1" applyBorder="1" applyAlignment="1">
      <alignment horizontal="center" vertical="center"/>
    </xf>
    <xf numFmtId="0" fontId="0" fillId="2" borderId="44" xfId="0" applyFill="1" applyBorder="1"/>
    <xf numFmtId="0" fontId="0" fillId="2" borderId="45" xfId="0" applyFill="1" applyBorder="1"/>
    <xf numFmtId="0" fontId="9" fillId="2" borderId="71" xfId="0" applyFont="1" applyFill="1" applyBorder="1" applyAlignment="1">
      <alignment horizontal="center"/>
    </xf>
    <xf numFmtId="0" fontId="9" fillId="2" borderId="72" xfId="0" applyFont="1" applyFill="1" applyBorder="1" applyAlignment="1">
      <alignment horizontal="center"/>
    </xf>
    <xf numFmtId="49" fontId="9" fillId="0" borderId="106" xfId="0" applyNumberFormat="1" applyFont="1" applyBorder="1" applyAlignment="1">
      <alignment horizontal="center"/>
    </xf>
    <xf numFmtId="49" fontId="9" fillId="0" borderId="107" xfId="0" applyNumberFormat="1" applyFont="1" applyBorder="1" applyAlignment="1">
      <alignment horizontal="center"/>
    </xf>
    <xf numFmtId="49" fontId="9" fillId="0" borderId="108" xfId="0" applyNumberFormat="1" applyFont="1" applyBorder="1" applyAlignment="1">
      <alignment horizontal="center"/>
    </xf>
    <xf numFmtId="49" fontId="3" fillId="0" borderId="66" xfId="0" applyNumberFormat="1" applyFont="1" applyBorder="1" applyAlignment="1">
      <alignment horizontal="center"/>
    </xf>
    <xf numFmtId="0" fontId="3" fillId="2" borderId="67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 wrapText="1"/>
    </xf>
    <xf numFmtId="0" fontId="3" fillId="2" borderId="101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 wrapText="1"/>
    </xf>
    <xf numFmtId="0" fontId="9" fillId="0" borderId="85" xfId="0" applyFont="1" applyBorder="1" applyAlignment="1">
      <alignment horizontal="center" vertical="center"/>
    </xf>
    <xf numFmtId="0" fontId="9" fillId="2" borderId="38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/>
    </xf>
    <xf numFmtId="49" fontId="2" fillId="4" borderId="109" xfId="0" applyNumberFormat="1" applyFont="1" applyFill="1" applyBorder="1" applyAlignment="1">
      <alignment horizontal="center" vertical="center"/>
    </xf>
    <xf numFmtId="0" fontId="0" fillId="2" borderId="110" xfId="0" applyFill="1" applyBorder="1"/>
    <xf numFmtId="0" fontId="0" fillId="0" borderId="111" xfId="0" applyBorder="1"/>
    <xf numFmtId="49" fontId="3" fillId="2" borderId="65" xfId="0" applyNumberFormat="1" applyFont="1" applyFill="1" applyBorder="1" applyAlignment="1">
      <alignment horizontal="center" vertical="center"/>
    </xf>
    <xf numFmtId="0" fontId="0" fillId="2" borderId="65" xfId="0" applyFill="1" applyBorder="1"/>
    <xf numFmtId="0" fontId="3" fillId="2" borderId="65" xfId="0" applyFont="1" applyFill="1" applyBorder="1" applyAlignment="1">
      <alignment horizontal="center" vertical="center"/>
    </xf>
    <xf numFmtId="0" fontId="0" fillId="0" borderId="65" xfId="0" applyBorder="1"/>
    <xf numFmtId="49" fontId="3" fillId="2" borderId="65" xfId="0" applyNumberFormat="1" applyFont="1" applyFill="1" applyBorder="1" applyAlignment="1">
      <alignment horizontal="center" vertical="center" wrapText="1"/>
    </xf>
    <xf numFmtId="0" fontId="8" fillId="2" borderId="65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wrapText="1"/>
    </xf>
    <xf numFmtId="0" fontId="0" fillId="2" borderId="14" xfId="0" applyFill="1" applyBorder="1" applyAlignment="1">
      <alignment horizontal="left" wrapText="1"/>
    </xf>
    <xf numFmtId="0" fontId="0" fillId="2" borderId="88" xfId="0" applyFill="1" applyBorder="1" applyAlignment="1">
      <alignment horizontal="left" wrapText="1"/>
    </xf>
    <xf numFmtId="49" fontId="9" fillId="0" borderId="85" xfId="0" applyNumberFormat="1" applyFont="1" applyBorder="1" applyAlignment="1">
      <alignment horizontal="center" vertical="center"/>
    </xf>
    <xf numFmtId="0" fontId="3" fillId="2" borderId="96" xfId="0" applyFont="1" applyFill="1" applyBorder="1" applyAlignment="1">
      <alignment horizontal="center" vertical="center"/>
    </xf>
    <xf numFmtId="0" fontId="8" fillId="2" borderId="99" xfId="0" applyFont="1" applyFill="1" applyBorder="1" applyAlignment="1">
      <alignment horizontal="center" vertical="center" wrapText="1"/>
    </xf>
    <xf numFmtId="0" fontId="0" fillId="0" borderId="99" xfId="0" applyBorder="1"/>
    <xf numFmtId="0" fontId="0" fillId="2" borderId="99" xfId="0" applyFill="1" applyBorder="1"/>
    <xf numFmtId="0" fontId="0" fillId="2" borderId="100" xfId="0" applyFill="1" applyBorder="1"/>
    <xf numFmtId="49" fontId="3" fillId="2" borderId="98" xfId="0" applyNumberFormat="1" applyFont="1" applyFill="1" applyBorder="1" applyAlignment="1">
      <alignment horizontal="center" vertical="center" wrapText="1"/>
    </xf>
    <xf numFmtId="49" fontId="3" fillId="2" borderId="95" xfId="0" applyNumberFormat="1" applyFont="1" applyFill="1" applyBorder="1" applyAlignment="1">
      <alignment horizontal="center" vertical="center"/>
    </xf>
    <xf numFmtId="0" fontId="10" fillId="2" borderId="38" xfId="0" applyFont="1" applyFill="1" applyBorder="1"/>
    <xf numFmtId="0" fontId="10" fillId="2" borderId="18" xfId="0" applyFont="1" applyFill="1" applyBorder="1"/>
    <xf numFmtId="0" fontId="10" fillId="2" borderId="25" xfId="0" applyFont="1" applyFill="1" applyBorder="1"/>
    <xf numFmtId="0" fontId="10" fillId="2" borderId="26" xfId="0" applyFont="1" applyFill="1" applyBorder="1"/>
    <xf numFmtId="49" fontId="3" fillId="0" borderId="66" xfId="0" applyNumberFormat="1" applyFont="1" applyBorder="1" applyAlignment="1">
      <alignment horizontal="center" vertical="center"/>
    </xf>
    <xf numFmtId="49" fontId="9" fillId="0" borderId="69" xfId="0" applyNumberFormat="1" applyFont="1" applyBorder="1" applyAlignment="1">
      <alignment horizontal="center" vertical="center"/>
    </xf>
    <xf numFmtId="49" fontId="3" fillId="0" borderId="69" xfId="0" applyNumberFormat="1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2" borderId="72" xfId="0" applyFont="1" applyFill="1" applyBorder="1" applyAlignment="1">
      <alignment horizontal="center"/>
    </xf>
    <xf numFmtId="49" fontId="2" fillId="4" borderId="56" xfId="0" applyNumberFormat="1" applyFont="1" applyFill="1" applyBorder="1" applyAlignment="1">
      <alignment horizontal="center" vertical="center"/>
    </xf>
    <xf numFmtId="0" fontId="0" fillId="2" borderId="57" xfId="0" applyFill="1" applyBorder="1"/>
    <xf numFmtId="0" fontId="0" fillId="2" borderId="58" xfId="0" applyFill="1" applyBorder="1"/>
    <xf numFmtId="49" fontId="3" fillId="0" borderId="47" xfId="0" applyNumberFormat="1" applyFont="1" applyBorder="1" applyAlignment="1">
      <alignment horizontal="center" vertical="center"/>
    </xf>
    <xf numFmtId="0" fontId="3" fillId="2" borderId="48" xfId="0" applyFont="1" applyFill="1" applyBorder="1" applyAlignment="1">
      <alignment horizontal="center"/>
    </xf>
    <xf numFmtId="0" fontId="3" fillId="2" borderId="49" xfId="0" applyFont="1" applyFill="1" applyBorder="1" applyAlignment="1">
      <alignment horizontal="center"/>
    </xf>
    <xf numFmtId="0" fontId="3" fillId="2" borderId="61" xfId="0" applyFont="1" applyFill="1" applyBorder="1" applyAlignment="1">
      <alignment horizontal="center" vertical="center" wrapText="1"/>
    </xf>
    <xf numFmtId="49" fontId="2" fillId="2" borderId="62" xfId="0" applyNumberFormat="1" applyFont="1" applyFill="1" applyBorder="1" applyAlignment="1">
      <alignment horizontal="center" vertical="center" wrapText="1"/>
    </xf>
    <xf numFmtId="49" fontId="2" fillId="4" borderId="8" xfId="0" applyNumberFormat="1" applyFont="1" applyFill="1" applyBorder="1" applyAlignment="1">
      <alignment horizontal="center" vertical="center"/>
    </xf>
    <xf numFmtId="0" fontId="0" fillId="2" borderId="15" xfId="0" applyFill="1" applyBorder="1"/>
    <xf numFmtId="0" fontId="8" fillId="2" borderId="2" xfId="0" applyFont="1" applyFill="1" applyBorder="1" applyAlignment="1">
      <alignment horizontal="center" vertical="center" wrapText="1"/>
    </xf>
    <xf numFmtId="0" fontId="0" fillId="2" borderId="3" xfId="0" applyFill="1" applyBorder="1"/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0" fillId="2" borderId="9" xfId="0" applyFill="1" applyBorder="1"/>
    <xf numFmtId="49" fontId="2" fillId="2" borderId="4" xfId="0" applyNumberFormat="1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</cellXfs>
  <cellStyles count="1">
    <cellStyle name="Normální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  <rgbColor rgb="FF969696"/>
      <rgbColor rgb="FF3F3F3F"/>
      <rgbColor rgb="FFDD0806"/>
      <rgbColor rgb="FF00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2"/>
  <sheetViews>
    <sheetView showGridLines="0" zoomScaleNormal="100" workbookViewId="0">
      <selection activeCell="C22" sqref="C22:H22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1</v>
      </c>
      <c r="E2" s="153" t="s">
        <v>2</v>
      </c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73</v>
      </c>
      <c r="E3" s="149"/>
      <c r="F3" s="149"/>
      <c r="G3" s="149"/>
      <c r="H3" s="152"/>
    </row>
    <row r="4" spans="1:8" ht="14.65" customHeight="1" thickBot="1" x14ac:dyDescent="0.25">
      <c r="A4" s="108" t="s">
        <v>125</v>
      </c>
      <c r="B4" s="109"/>
      <c r="C4" s="77">
        <f>E18</f>
        <v>182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47"/>
      <c r="E6" s="139"/>
      <c r="F6" s="140"/>
      <c r="G6" s="30" t="s">
        <v>11</v>
      </c>
      <c r="H6" s="79" t="s">
        <v>12</v>
      </c>
    </row>
    <row r="7" spans="1:8" ht="13.5" customHeight="1" x14ac:dyDescent="0.2">
      <c r="A7" s="125" t="s">
        <v>74</v>
      </c>
      <c r="B7" s="126"/>
      <c r="C7" s="127"/>
      <c r="D7" s="39">
        <v>222670</v>
      </c>
      <c r="E7" s="33">
        <v>10</v>
      </c>
      <c r="F7" s="34">
        <f>E7*$D$2</f>
        <v>10</v>
      </c>
      <c r="G7" s="35">
        <f t="shared" ref="G7:G17" si="0">(H7/1000)*F7</f>
        <v>1.3380000000000001</v>
      </c>
      <c r="H7" s="80">
        <v>133.80000000000001</v>
      </c>
    </row>
    <row r="8" spans="1:8" ht="13.7" customHeight="1" x14ac:dyDescent="0.2">
      <c r="A8" s="128" t="s">
        <v>15</v>
      </c>
      <c r="B8" s="129"/>
      <c r="C8" s="130"/>
      <c r="D8" s="16" t="s">
        <v>18</v>
      </c>
      <c r="E8" s="9">
        <v>2</v>
      </c>
      <c r="F8" s="37">
        <f t="shared" ref="F8:F17" si="1">E8*$D$2</f>
        <v>2</v>
      </c>
      <c r="G8" s="10">
        <f t="shared" si="0"/>
        <v>0.4718</v>
      </c>
      <c r="H8" s="50">
        <v>235.9</v>
      </c>
    </row>
    <row r="9" spans="1:8" ht="13.7" customHeight="1" x14ac:dyDescent="0.2">
      <c r="A9" s="128" t="s">
        <v>75</v>
      </c>
      <c r="B9" s="129"/>
      <c r="C9" s="130"/>
      <c r="D9" s="16">
        <v>212707</v>
      </c>
      <c r="E9" s="9">
        <v>20</v>
      </c>
      <c r="F9" s="37">
        <f t="shared" si="1"/>
        <v>20</v>
      </c>
      <c r="G9" s="10">
        <f t="shared" si="0"/>
        <v>0.97860000000000003</v>
      </c>
      <c r="H9" s="50">
        <v>48.93</v>
      </c>
    </row>
    <row r="10" spans="1:8" ht="13.7" customHeight="1" x14ac:dyDescent="0.2">
      <c r="A10" s="128" t="s">
        <v>76</v>
      </c>
      <c r="B10" s="129"/>
      <c r="C10" s="130"/>
      <c r="D10" s="16">
        <v>115300</v>
      </c>
      <c r="E10" s="9">
        <v>8</v>
      </c>
      <c r="F10" s="37">
        <f t="shared" si="1"/>
        <v>8</v>
      </c>
      <c r="G10" s="10">
        <f t="shared" si="0"/>
        <v>0.98384000000000005</v>
      </c>
      <c r="H10" s="50">
        <v>122.98</v>
      </c>
    </row>
    <row r="11" spans="1:8" ht="13.7" customHeight="1" x14ac:dyDescent="0.2">
      <c r="A11" s="128" t="s">
        <v>20</v>
      </c>
      <c r="B11" s="129"/>
      <c r="C11" s="130"/>
      <c r="D11" s="8">
        <v>223057</v>
      </c>
      <c r="E11" s="9">
        <v>1</v>
      </c>
      <c r="F11" s="37">
        <f t="shared" si="1"/>
        <v>1</v>
      </c>
      <c r="G11" s="10">
        <f t="shared" si="0"/>
        <v>7.0800000000000004E-3</v>
      </c>
      <c r="H11" s="50">
        <v>7.08</v>
      </c>
    </row>
    <row r="12" spans="1:8" ht="13.5" customHeight="1" x14ac:dyDescent="0.2">
      <c r="A12" s="131" t="s">
        <v>21</v>
      </c>
      <c r="B12" s="132"/>
      <c r="C12" s="133"/>
      <c r="D12" s="8">
        <v>396524</v>
      </c>
      <c r="E12" s="9">
        <v>1</v>
      </c>
      <c r="F12" s="37">
        <f t="shared" si="1"/>
        <v>1</v>
      </c>
      <c r="G12" s="10">
        <f t="shared" si="0"/>
        <v>0.63545000000000007</v>
      </c>
      <c r="H12" s="50">
        <v>635.45000000000005</v>
      </c>
    </row>
    <row r="13" spans="1:8" ht="13.7" customHeight="1" x14ac:dyDescent="0.2">
      <c r="A13" s="131" t="s">
        <v>77</v>
      </c>
      <c r="B13" s="132"/>
      <c r="C13" s="133"/>
      <c r="D13" s="16">
        <v>355354</v>
      </c>
      <c r="E13" s="9">
        <v>140</v>
      </c>
      <c r="F13" s="37">
        <f t="shared" si="1"/>
        <v>140</v>
      </c>
      <c r="G13" s="10">
        <f t="shared" si="0"/>
        <v>4.9993999999999996</v>
      </c>
      <c r="H13" s="50">
        <v>35.71</v>
      </c>
    </row>
    <row r="14" spans="1:8" ht="13.7" customHeight="1" x14ac:dyDescent="0.2">
      <c r="A14" s="134"/>
      <c r="B14" s="129"/>
      <c r="C14" s="130"/>
      <c r="D14" s="38"/>
      <c r="E14" s="9"/>
      <c r="F14" s="37">
        <f t="shared" si="1"/>
        <v>0</v>
      </c>
      <c r="G14" s="10">
        <f t="shared" si="0"/>
        <v>0</v>
      </c>
      <c r="H14" s="50"/>
    </row>
    <row r="15" spans="1:8" ht="13.7" customHeight="1" x14ac:dyDescent="0.2">
      <c r="A15" s="134"/>
      <c r="B15" s="129"/>
      <c r="C15" s="130"/>
      <c r="D15" s="38"/>
      <c r="E15" s="9"/>
      <c r="F15" s="37">
        <f t="shared" si="1"/>
        <v>0</v>
      </c>
      <c r="G15" s="10">
        <f t="shared" si="0"/>
        <v>0</v>
      </c>
      <c r="H15" s="50"/>
    </row>
    <row r="16" spans="1:8" ht="13.5" customHeight="1" x14ac:dyDescent="0.2">
      <c r="A16" s="134"/>
      <c r="B16" s="129"/>
      <c r="C16" s="130"/>
      <c r="D16" s="38"/>
      <c r="E16" s="9"/>
      <c r="F16" s="37">
        <f t="shared" si="1"/>
        <v>0</v>
      </c>
      <c r="G16" s="10">
        <f t="shared" si="0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19">
        <f t="shared" si="1"/>
        <v>0</v>
      </c>
      <c r="G17" s="21">
        <f t="shared" si="0"/>
        <v>0</v>
      </c>
      <c r="H17" s="51"/>
    </row>
    <row r="18" spans="1:8" ht="25.7" customHeight="1" thickBot="1" x14ac:dyDescent="0.25">
      <c r="A18" s="108" t="s">
        <v>22</v>
      </c>
      <c r="B18" s="109"/>
      <c r="C18" s="110"/>
      <c r="D18" s="23"/>
      <c r="E18" s="24">
        <f>SUM(E7:E17)</f>
        <v>182</v>
      </c>
      <c r="F18" s="24">
        <f>SUM(F7:F17)</f>
        <v>182</v>
      </c>
      <c r="G18" s="25" t="s">
        <v>23</v>
      </c>
      <c r="H18" s="81">
        <f>SUM(G7:G17)</f>
        <v>9.4141700000000004</v>
      </c>
    </row>
    <row r="19" spans="1:8" ht="51.75" customHeight="1" thickBot="1" x14ac:dyDescent="0.25">
      <c r="A19" s="108" t="s">
        <v>24</v>
      </c>
      <c r="B19" s="109"/>
      <c r="C19" s="110"/>
      <c r="D19" s="27">
        <f>H19/C4</f>
        <v>5.1726208791208796E-2</v>
      </c>
      <c r="E19" s="23"/>
      <c r="F19" s="24"/>
      <c r="G19" s="25" t="s">
        <v>93</v>
      </c>
      <c r="H19" s="81">
        <f>H18/D2</f>
        <v>9.4141700000000004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4.1" customHeight="1" x14ac:dyDescent="0.2">
      <c r="A21" s="121" t="s">
        <v>27</v>
      </c>
      <c r="B21" s="114"/>
      <c r="C21" s="112"/>
      <c r="D21" s="113"/>
      <c r="E21" s="114"/>
      <c r="F21" s="114"/>
      <c r="G21" s="114"/>
      <c r="H21" s="115"/>
    </row>
    <row r="22" spans="1:8" ht="117.75" customHeight="1" thickBot="1" x14ac:dyDescent="0.25">
      <c r="A22" s="120" t="s">
        <v>28</v>
      </c>
      <c r="B22" s="118"/>
      <c r="C22" s="116" t="s">
        <v>112</v>
      </c>
      <c r="D22" s="117"/>
      <c r="E22" s="118"/>
      <c r="F22" s="118"/>
      <c r="G22" s="118"/>
      <c r="H22" s="119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20:D20"/>
    <mergeCell ref="C21:H21"/>
    <mergeCell ref="C22:H22"/>
    <mergeCell ref="A22:B22"/>
    <mergeCell ref="A21:B21"/>
    <mergeCell ref="A19:C19"/>
  </mergeCells>
  <pageMargins left="0.7" right="0.7" top="0.78740200000000005" bottom="0.78740200000000005" header="0.3" footer="0.3"/>
  <pageSetup scale="89" orientation="landscape" horizontalDpi="360" verticalDpi="360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"/>
  <sheetViews>
    <sheetView showGridLines="0" zoomScale="90" zoomScaleNormal="90" workbookViewId="0">
      <selection sqref="A1:H1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1</v>
      </c>
      <c r="E2" s="153" t="s">
        <v>2</v>
      </c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4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E19</f>
        <v>270.5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x14ac:dyDescent="0.2">
      <c r="A6" s="167"/>
      <c r="B6" s="168"/>
      <c r="C6" s="169"/>
      <c r="D6" s="170"/>
      <c r="E6" s="165"/>
      <c r="F6" s="166"/>
      <c r="G6" s="7" t="s">
        <v>11</v>
      </c>
      <c r="H6" s="83" t="s">
        <v>12</v>
      </c>
    </row>
    <row r="7" spans="1:8" ht="13.7" customHeight="1" x14ac:dyDescent="0.2">
      <c r="A7" s="128" t="s">
        <v>13</v>
      </c>
      <c r="B7" s="129"/>
      <c r="C7" s="130"/>
      <c r="D7" s="8" t="s">
        <v>18</v>
      </c>
      <c r="E7" s="9">
        <v>150</v>
      </c>
      <c r="F7" s="9">
        <f t="shared" ref="F7:F18" si="0">E7*$D$2</f>
        <v>150</v>
      </c>
      <c r="G7" s="10">
        <f t="shared" ref="G7:G18" si="1">(H7/1000)*F7</f>
        <v>2.31</v>
      </c>
      <c r="H7" s="50">
        <v>15.4</v>
      </c>
    </row>
    <row r="8" spans="1:8" ht="13.7" customHeight="1" x14ac:dyDescent="0.2">
      <c r="A8" s="128" t="s">
        <v>14</v>
      </c>
      <c r="B8" s="129"/>
      <c r="C8" s="130"/>
      <c r="D8" s="8" t="s">
        <v>18</v>
      </c>
      <c r="E8" s="9">
        <v>25</v>
      </c>
      <c r="F8" s="9">
        <f t="shared" si="0"/>
        <v>25</v>
      </c>
      <c r="G8" s="10">
        <f t="shared" si="1"/>
        <v>0.40999999999999992</v>
      </c>
      <c r="H8" s="50">
        <v>16.399999999999999</v>
      </c>
    </row>
    <row r="9" spans="1:8" ht="13.7" customHeight="1" x14ac:dyDescent="0.2">
      <c r="A9" s="128" t="s">
        <v>15</v>
      </c>
      <c r="B9" s="129"/>
      <c r="C9" s="130"/>
      <c r="D9" s="8" t="s">
        <v>18</v>
      </c>
      <c r="E9" s="12">
        <v>2</v>
      </c>
      <c r="F9" s="12">
        <f t="shared" si="0"/>
        <v>2</v>
      </c>
      <c r="G9" s="10">
        <f t="shared" si="1"/>
        <v>0.4718</v>
      </c>
      <c r="H9" s="50">
        <v>235.9</v>
      </c>
    </row>
    <row r="10" spans="1:8" ht="13.7" customHeight="1" x14ac:dyDescent="0.2">
      <c r="A10" s="128" t="s">
        <v>16</v>
      </c>
      <c r="B10" s="129"/>
      <c r="C10" s="130"/>
      <c r="D10" s="8">
        <v>258506</v>
      </c>
      <c r="E10" s="9">
        <v>5</v>
      </c>
      <c r="F10" s="9">
        <f t="shared" si="0"/>
        <v>5</v>
      </c>
      <c r="G10" s="13">
        <f>(H10/1000)*F10</f>
        <v>1.8262500000000002</v>
      </c>
      <c r="H10" s="50">
        <v>365.25</v>
      </c>
    </row>
    <row r="11" spans="1:8" ht="13.7" customHeight="1" x14ac:dyDescent="0.2">
      <c r="A11" s="128" t="s">
        <v>17</v>
      </c>
      <c r="B11" s="129"/>
      <c r="C11" s="130"/>
      <c r="D11" s="14" t="s">
        <v>18</v>
      </c>
      <c r="E11" s="9">
        <v>35</v>
      </c>
      <c r="F11" s="9">
        <f t="shared" si="0"/>
        <v>35</v>
      </c>
      <c r="G11" s="15">
        <f t="shared" si="1"/>
        <v>2.5228000000000002</v>
      </c>
      <c r="H11" s="50">
        <v>72.08</v>
      </c>
    </row>
    <row r="12" spans="1:8" ht="13.7" customHeight="1" x14ac:dyDescent="0.2">
      <c r="A12" s="131" t="s">
        <v>19</v>
      </c>
      <c r="B12" s="132"/>
      <c r="C12" s="133"/>
      <c r="D12" s="16">
        <v>489613</v>
      </c>
      <c r="E12" s="9">
        <v>1</v>
      </c>
      <c r="F12" s="9">
        <f t="shared" si="0"/>
        <v>1</v>
      </c>
      <c r="G12" s="10">
        <f t="shared" si="1"/>
        <v>0.22141</v>
      </c>
      <c r="H12" s="50">
        <v>221.41</v>
      </c>
    </row>
    <row r="13" spans="1:8" ht="13.7" customHeight="1" x14ac:dyDescent="0.2">
      <c r="A13" s="128" t="s">
        <v>20</v>
      </c>
      <c r="B13" s="129"/>
      <c r="C13" s="130"/>
      <c r="D13" s="8">
        <v>223057</v>
      </c>
      <c r="E13" s="17">
        <v>0.5</v>
      </c>
      <c r="F13" s="17">
        <f t="shared" si="0"/>
        <v>0.5</v>
      </c>
      <c r="G13" s="10">
        <f t="shared" si="1"/>
        <v>3.5400000000000002E-3</v>
      </c>
      <c r="H13" s="50">
        <v>7.08</v>
      </c>
    </row>
    <row r="14" spans="1:8" ht="13.7" customHeight="1" x14ac:dyDescent="0.2">
      <c r="A14" s="131" t="s">
        <v>21</v>
      </c>
      <c r="B14" s="132"/>
      <c r="C14" s="133"/>
      <c r="D14" s="8">
        <v>396524</v>
      </c>
      <c r="E14" s="17">
        <v>0.5</v>
      </c>
      <c r="F14" s="17">
        <f t="shared" si="0"/>
        <v>0.5</v>
      </c>
      <c r="G14" s="10">
        <f t="shared" si="1"/>
        <v>0.31772500000000004</v>
      </c>
      <c r="H14" s="50">
        <v>635.45000000000005</v>
      </c>
    </row>
    <row r="15" spans="1:8" ht="13.5" customHeight="1" x14ac:dyDescent="0.2">
      <c r="A15" s="128" t="s">
        <v>95</v>
      </c>
      <c r="B15" s="129"/>
      <c r="C15" s="130"/>
      <c r="D15" s="14" t="s">
        <v>98</v>
      </c>
      <c r="E15" s="9">
        <v>1.5</v>
      </c>
      <c r="F15" s="9">
        <f t="shared" si="0"/>
        <v>1.5</v>
      </c>
      <c r="G15" s="10">
        <f t="shared" si="1"/>
        <v>1.85175</v>
      </c>
      <c r="H15" s="50">
        <v>1234.5</v>
      </c>
    </row>
    <row r="16" spans="1:8" ht="13.5" customHeight="1" thickBot="1" x14ac:dyDescent="0.25">
      <c r="A16" s="122" t="s">
        <v>63</v>
      </c>
      <c r="B16" s="123"/>
      <c r="C16" s="124"/>
      <c r="D16" s="18" t="s">
        <v>18</v>
      </c>
      <c r="E16" s="19">
        <v>50</v>
      </c>
      <c r="F16" s="20">
        <f t="shared" si="0"/>
        <v>50</v>
      </c>
      <c r="G16" s="21">
        <f t="shared" si="1"/>
        <v>1.1300000000000001</v>
      </c>
      <c r="H16" s="51">
        <v>22.6</v>
      </c>
    </row>
    <row r="17" spans="1:8" ht="14.1" customHeight="1" thickBot="1" x14ac:dyDescent="0.25">
      <c r="A17" s="122" t="s">
        <v>96</v>
      </c>
      <c r="B17" s="123"/>
      <c r="C17" s="124"/>
      <c r="D17" s="18" t="s">
        <v>18</v>
      </c>
      <c r="E17" s="19">
        <v>20</v>
      </c>
      <c r="F17" s="20">
        <f t="shared" si="0"/>
        <v>20</v>
      </c>
      <c r="G17" s="21">
        <f t="shared" si="1"/>
        <v>0.45200000000000007</v>
      </c>
      <c r="H17" s="51">
        <v>22.6</v>
      </c>
    </row>
    <row r="18" spans="1:8" ht="14.1" customHeight="1" thickBot="1" x14ac:dyDescent="0.25">
      <c r="A18" s="122" t="s">
        <v>97</v>
      </c>
      <c r="B18" s="123"/>
      <c r="C18" s="124"/>
      <c r="D18" s="18" t="s">
        <v>18</v>
      </c>
      <c r="E18" s="19">
        <v>12</v>
      </c>
      <c r="F18" s="20">
        <f t="shared" si="0"/>
        <v>12</v>
      </c>
      <c r="G18" s="21">
        <f t="shared" si="1"/>
        <v>0.43199999999999994</v>
      </c>
      <c r="H18" s="51">
        <v>36</v>
      </c>
    </row>
    <row r="19" spans="1:8" ht="25.7" customHeight="1" thickBot="1" x14ac:dyDescent="0.25">
      <c r="A19" s="108" t="s">
        <v>22</v>
      </c>
      <c r="B19" s="109"/>
      <c r="C19" s="110"/>
      <c r="D19" s="23"/>
      <c r="E19" s="24">
        <f>SUM(E7:E16)</f>
        <v>270.5</v>
      </c>
      <c r="F19" s="24">
        <f>SUM(F7:F16)</f>
        <v>270.5</v>
      </c>
      <c r="G19" s="25" t="s">
        <v>23</v>
      </c>
      <c r="H19" s="81">
        <f>SUM(G7:G18)</f>
        <v>11.949275000000002</v>
      </c>
    </row>
    <row r="20" spans="1:8" ht="51.75" customHeight="1" thickBot="1" x14ac:dyDescent="0.25">
      <c r="A20" s="108" t="s">
        <v>24</v>
      </c>
      <c r="B20" s="109"/>
      <c r="C20" s="110"/>
      <c r="D20" s="27">
        <f>H20/C4</f>
        <v>4.4174768946395569E-2</v>
      </c>
      <c r="E20" s="23"/>
      <c r="F20" s="24"/>
      <c r="G20" s="25" t="s">
        <v>94</v>
      </c>
      <c r="H20" s="81">
        <f>H19/D2</f>
        <v>11.949275000000002</v>
      </c>
    </row>
    <row r="21" spans="1:8" ht="14.65" customHeight="1" thickBot="1" x14ac:dyDescent="0.25">
      <c r="A21" s="108" t="s">
        <v>26</v>
      </c>
      <c r="B21" s="109"/>
      <c r="C21" s="109"/>
      <c r="D21" s="111"/>
      <c r="E21" s="23"/>
      <c r="F21" s="24"/>
      <c r="G21" s="28"/>
      <c r="H21" s="82"/>
    </row>
    <row r="22" spans="1:8" ht="14.1" customHeight="1" x14ac:dyDescent="0.2">
      <c r="A22" s="121" t="s">
        <v>27</v>
      </c>
      <c r="B22" s="114"/>
      <c r="C22" s="112"/>
      <c r="D22" s="113"/>
      <c r="E22" s="114"/>
      <c r="F22" s="114"/>
      <c r="G22" s="114"/>
      <c r="H22" s="115"/>
    </row>
    <row r="23" spans="1:8" ht="120.75" customHeight="1" thickBot="1" x14ac:dyDescent="0.25">
      <c r="A23" s="164" t="s">
        <v>28</v>
      </c>
      <c r="B23" s="162"/>
      <c r="C23" s="160" t="s">
        <v>113</v>
      </c>
      <c r="D23" s="161"/>
      <c r="E23" s="162"/>
      <c r="F23" s="162"/>
      <c r="G23" s="162"/>
      <c r="H23" s="163"/>
    </row>
    <row r="24" spans="1:8" ht="15.6" customHeight="1" thickBot="1" x14ac:dyDescent="0.25">
      <c r="A24" s="159"/>
      <c r="B24" s="157"/>
      <c r="C24" s="155"/>
      <c r="D24" s="156"/>
      <c r="E24" s="157"/>
      <c r="F24" s="157"/>
      <c r="G24" s="157"/>
      <c r="H24" s="158"/>
    </row>
  </sheetData>
  <mergeCells count="32">
    <mergeCell ref="A1:H1"/>
    <mergeCell ref="E5:E6"/>
    <mergeCell ref="F5:F6"/>
    <mergeCell ref="G5:H5"/>
    <mergeCell ref="A5:C6"/>
    <mergeCell ref="D5:D6"/>
    <mergeCell ref="D3:H3"/>
    <mergeCell ref="E2:H2"/>
    <mergeCell ref="A2:C2"/>
    <mergeCell ref="A3:C3"/>
    <mergeCell ref="A4:B4"/>
    <mergeCell ref="A7:C7"/>
    <mergeCell ref="A8:C8"/>
    <mergeCell ref="A9:C9"/>
    <mergeCell ref="A13:C13"/>
    <mergeCell ref="A11:C11"/>
    <mergeCell ref="A12:C12"/>
    <mergeCell ref="A14:C14"/>
    <mergeCell ref="A10:C10"/>
    <mergeCell ref="C24:H24"/>
    <mergeCell ref="A24:B24"/>
    <mergeCell ref="A19:C19"/>
    <mergeCell ref="A21:D21"/>
    <mergeCell ref="C22:H22"/>
    <mergeCell ref="C23:H23"/>
    <mergeCell ref="A23:B23"/>
    <mergeCell ref="A22:B22"/>
    <mergeCell ref="A20:C20"/>
    <mergeCell ref="A17:C17"/>
    <mergeCell ref="A18:C18"/>
    <mergeCell ref="A16:C16"/>
    <mergeCell ref="A15:C15"/>
  </mergeCells>
  <pageMargins left="0.7" right="0.7" top="0.78740200000000005" bottom="0.78740200000000005" header="0.3" footer="0.3"/>
  <pageSetup scale="97" fitToWidth="0" orientation="landscape" horizontalDpi="360" verticalDpi="360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2"/>
  <sheetViews>
    <sheetView showGridLines="0" tabSelected="1" workbookViewId="0">
      <selection activeCell="E30" sqref="E30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1</v>
      </c>
      <c r="E2" s="171"/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32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325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47"/>
      <c r="E6" s="139"/>
      <c r="F6" s="140"/>
      <c r="G6" s="30" t="s">
        <v>11</v>
      </c>
      <c r="H6" s="79" t="s">
        <v>12</v>
      </c>
    </row>
    <row r="7" spans="1:8" ht="14.1" customHeight="1" x14ac:dyDescent="0.2">
      <c r="A7" s="125" t="s">
        <v>99</v>
      </c>
      <c r="B7" s="126"/>
      <c r="C7" s="127"/>
      <c r="D7" s="39" t="s">
        <v>88</v>
      </c>
      <c r="E7" s="33">
        <v>320</v>
      </c>
      <c r="F7" s="33">
        <f t="shared" ref="F7:F17" si="0">E7*$D$2</f>
        <v>320</v>
      </c>
      <c r="G7" s="35">
        <f>(H7/1000)*F7</f>
        <v>17.600000000000001</v>
      </c>
      <c r="H7" s="80">
        <v>55</v>
      </c>
    </row>
    <row r="8" spans="1:8" ht="13.5" customHeight="1" x14ac:dyDescent="0.2">
      <c r="A8" s="128" t="s">
        <v>33</v>
      </c>
      <c r="B8" s="129"/>
      <c r="C8" s="130"/>
      <c r="D8" s="16">
        <v>54869</v>
      </c>
      <c r="E8" s="9">
        <v>3</v>
      </c>
      <c r="F8" s="9">
        <f t="shared" si="0"/>
        <v>3</v>
      </c>
      <c r="G8" s="10">
        <f t="shared" ref="G8:G17" si="1">(H8/1000)*F8</f>
        <v>0.68111999999999995</v>
      </c>
      <c r="H8" s="50">
        <v>227.04</v>
      </c>
    </row>
    <row r="9" spans="1:8" ht="13.7" customHeight="1" x14ac:dyDescent="0.2">
      <c r="A9" s="128" t="s">
        <v>20</v>
      </c>
      <c r="B9" s="129"/>
      <c r="C9" s="130"/>
      <c r="D9" s="8">
        <v>223057</v>
      </c>
      <c r="E9" s="9">
        <v>2</v>
      </c>
      <c r="F9" s="9">
        <f t="shared" si="0"/>
        <v>2</v>
      </c>
      <c r="G9" s="10">
        <f t="shared" si="1"/>
        <v>1.4160000000000001E-2</v>
      </c>
      <c r="H9" s="50">
        <v>7.08</v>
      </c>
    </row>
    <row r="10" spans="1:8" ht="13.7" customHeight="1" x14ac:dyDescent="0.2">
      <c r="A10" s="134"/>
      <c r="B10" s="129"/>
      <c r="C10" s="130"/>
      <c r="D10" s="38"/>
      <c r="E10" s="9"/>
      <c r="F10" s="9">
        <f t="shared" si="0"/>
        <v>0</v>
      </c>
      <c r="G10" s="10">
        <f t="shared" si="1"/>
        <v>0</v>
      </c>
      <c r="H10" s="50"/>
    </row>
    <row r="11" spans="1:8" ht="13.7" customHeight="1" x14ac:dyDescent="0.2">
      <c r="A11" s="134"/>
      <c r="B11" s="129"/>
      <c r="C11" s="130"/>
      <c r="D11" s="38"/>
      <c r="E11" s="9"/>
      <c r="F11" s="9">
        <f t="shared" si="0"/>
        <v>0</v>
      </c>
      <c r="G11" s="10">
        <f t="shared" si="1"/>
        <v>0</v>
      </c>
      <c r="H11" s="50"/>
    </row>
    <row r="12" spans="1:8" ht="13.7" customHeight="1" x14ac:dyDescent="0.2">
      <c r="A12" s="134"/>
      <c r="B12" s="129"/>
      <c r="C12" s="130"/>
      <c r="D12" s="38"/>
      <c r="E12" s="9"/>
      <c r="F12" s="9">
        <f t="shared" si="0"/>
        <v>0</v>
      </c>
      <c r="G12" s="10">
        <f t="shared" si="1"/>
        <v>0</v>
      </c>
      <c r="H12" s="50"/>
    </row>
    <row r="13" spans="1:8" ht="13.7" customHeight="1" x14ac:dyDescent="0.2">
      <c r="A13" s="134"/>
      <c r="B13" s="129"/>
      <c r="C13" s="130"/>
      <c r="D13" s="38"/>
      <c r="E13" s="9"/>
      <c r="F13" s="9">
        <f t="shared" si="0"/>
        <v>0</v>
      </c>
      <c r="G13" s="10">
        <f t="shared" si="1"/>
        <v>0</v>
      </c>
      <c r="H13" s="50"/>
    </row>
    <row r="14" spans="1:8" ht="13.5" customHeight="1" x14ac:dyDescent="0.2">
      <c r="A14" s="134"/>
      <c r="B14" s="129"/>
      <c r="C14" s="130"/>
      <c r="D14" s="38"/>
      <c r="E14" s="9"/>
      <c r="F14" s="9">
        <f t="shared" si="0"/>
        <v>0</v>
      </c>
      <c r="G14" s="10">
        <f t="shared" si="1"/>
        <v>0</v>
      </c>
      <c r="H14" s="50"/>
    </row>
    <row r="15" spans="1:8" ht="13.7" customHeight="1" x14ac:dyDescent="0.2">
      <c r="A15" s="134"/>
      <c r="B15" s="129"/>
      <c r="C15" s="130"/>
      <c r="D15" s="38"/>
      <c r="E15" s="9"/>
      <c r="F15" s="9">
        <f t="shared" si="0"/>
        <v>0</v>
      </c>
      <c r="G15" s="10">
        <f t="shared" si="1"/>
        <v>0</v>
      </c>
      <c r="H15" s="50"/>
    </row>
    <row r="16" spans="1:8" ht="13.7" customHeight="1" x14ac:dyDescent="0.2">
      <c r="A16" s="134"/>
      <c r="B16" s="129"/>
      <c r="C16" s="130"/>
      <c r="D16" s="38"/>
      <c r="E16" s="9"/>
      <c r="F16" s="9">
        <f t="shared" si="0"/>
        <v>0</v>
      </c>
      <c r="G16" s="10">
        <f t="shared" si="1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20">
        <f t="shared" si="0"/>
        <v>0</v>
      </c>
      <c r="G17" s="21">
        <f t="shared" si="1"/>
        <v>0</v>
      </c>
      <c r="H17" s="51"/>
    </row>
    <row r="18" spans="1:8" ht="25.7" customHeight="1" thickBot="1" x14ac:dyDescent="0.25">
      <c r="A18" s="108" t="s">
        <v>22</v>
      </c>
      <c r="B18" s="109"/>
      <c r="C18" s="110"/>
      <c r="D18" s="23"/>
      <c r="E18" s="24">
        <f>SUM(E7:E17)</f>
        <v>325</v>
      </c>
      <c r="F18" s="24">
        <f>SUM(F7:F17)</f>
        <v>325</v>
      </c>
      <c r="G18" s="25" t="s">
        <v>23</v>
      </c>
      <c r="H18" s="81">
        <f>SUM(G7:G17)</f>
        <v>18.295280000000002</v>
      </c>
    </row>
    <row r="19" spans="1:8" ht="51.75" customHeight="1" thickBot="1" x14ac:dyDescent="0.25">
      <c r="A19" s="108" t="s">
        <v>24</v>
      </c>
      <c r="B19" s="109"/>
      <c r="C19" s="110"/>
      <c r="D19" s="27">
        <f>H19/C4</f>
        <v>5.6293169230769234E-2</v>
      </c>
      <c r="E19" s="23"/>
      <c r="F19" s="24"/>
      <c r="G19" s="25" t="s">
        <v>93</v>
      </c>
      <c r="H19" s="81">
        <f>H18/D2</f>
        <v>18.295280000000002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4.1" customHeight="1" x14ac:dyDescent="0.2">
      <c r="A21" s="121" t="s">
        <v>27</v>
      </c>
      <c r="B21" s="114"/>
      <c r="C21" s="112"/>
      <c r="D21" s="113"/>
      <c r="E21" s="114"/>
      <c r="F21" s="114"/>
      <c r="G21" s="114"/>
      <c r="H21" s="115"/>
    </row>
    <row r="22" spans="1:8" ht="95.25" customHeight="1" thickBot="1" x14ac:dyDescent="0.25">
      <c r="A22" s="120" t="s">
        <v>28</v>
      </c>
      <c r="B22" s="118"/>
      <c r="C22" s="116" t="s">
        <v>114</v>
      </c>
      <c r="D22" s="117"/>
      <c r="E22" s="118"/>
      <c r="F22" s="118"/>
      <c r="G22" s="118"/>
      <c r="H22" s="119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20:D20"/>
    <mergeCell ref="C21:H21"/>
    <mergeCell ref="C22:H22"/>
    <mergeCell ref="A22:B22"/>
    <mergeCell ref="A21:B21"/>
    <mergeCell ref="A19:C19"/>
  </mergeCells>
  <pageMargins left="0.7" right="0.7" top="0.78740200000000005" bottom="0.78740200000000005" header="0.3" footer="0.3"/>
  <pageSetup scale="89" orientation="landscape" horizontalDpi="360" verticalDpi="360" r:id="rId1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0"/>
  <sheetViews>
    <sheetView showGridLines="0" workbookViewId="0">
      <selection activeCell="C20" sqref="C20:H20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20</v>
      </c>
      <c r="E2" s="171"/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34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E16</f>
        <v>315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88"/>
      <c r="B6" s="189"/>
      <c r="C6" s="190"/>
      <c r="D6" s="191"/>
      <c r="E6" s="186"/>
      <c r="F6" s="187"/>
      <c r="G6" s="57" t="s">
        <v>11</v>
      </c>
      <c r="H6" s="84" t="s">
        <v>12</v>
      </c>
    </row>
    <row r="7" spans="1:8" ht="13.7" customHeight="1" x14ac:dyDescent="0.2">
      <c r="A7" s="184" t="s">
        <v>35</v>
      </c>
      <c r="B7" s="185"/>
      <c r="C7" s="185"/>
      <c r="D7" s="92" t="s">
        <v>18</v>
      </c>
      <c r="E7" s="100">
        <v>70</v>
      </c>
      <c r="F7" s="93">
        <f t="shared" ref="F7:F15" si="0">E7*$D$2</f>
        <v>1400</v>
      </c>
      <c r="G7" s="94">
        <f t="shared" ref="G7:G14" si="1">(H7/1000)*F7</f>
        <v>88.9</v>
      </c>
      <c r="H7" s="95">
        <v>63.5</v>
      </c>
    </row>
    <row r="8" spans="1:8" ht="13.7" customHeight="1" x14ac:dyDescent="0.2">
      <c r="A8" s="172" t="s">
        <v>36</v>
      </c>
      <c r="B8" s="173"/>
      <c r="C8" s="173"/>
      <c r="D8" s="90" t="s">
        <v>18</v>
      </c>
      <c r="E8" s="101">
        <v>60</v>
      </c>
      <c r="F8" s="88">
        <f t="shared" si="0"/>
        <v>1200</v>
      </c>
      <c r="G8" s="89">
        <f t="shared" si="1"/>
        <v>139.20000000000002</v>
      </c>
      <c r="H8" s="96">
        <v>116</v>
      </c>
    </row>
    <row r="9" spans="1:8" ht="13.7" customHeight="1" x14ac:dyDescent="0.2">
      <c r="A9" s="172" t="s">
        <v>37</v>
      </c>
      <c r="B9" s="173"/>
      <c r="C9" s="173"/>
      <c r="D9" s="90" t="s">
        <v>18</v>
      </c>
      <c r="E9" s="101">
        <v>60</v>
      </c>
      <c r="F9" s="88">
        <f>E9*$D$2</f>
        <v>1200</v>
      </c>
      <c r="G9" s="89">
        <f t="shared" si="1"/>
        <v>135</v>
      </c>
      <c r="H9" s="96">
        <v>112.5</v>
      </c>
    </row>
    <row r="10" spans="1:8" ht="13.7" customHeight="1" x14ac:dyDescent="0.2">
      <c r="A10" s="172" t="s">
        <v>124</v>
      </c>
      <c r="B10" s="173"/>
      <c r="C10" s="173"/>
      <c r="D10" s="90" t="s">
        <v>18</v>
      </c>
      <c r="E10" s="101">
        <v>60</v>
      </c>
      <c r="F10" s="88">
        <f>E10*$D$2</f>
        <v>1200</v>
      </c>
      <c r="G10" s="89">
        <f>(H10/1000)*F10</f>
        <v>111.6</v>
      </c>
      <c r="H10" s="96">
        <v>93</v>
      </c>
    </row>
    <row r="11" spans="1:8" ht="13.7" customHeight="1" x14ac:dyDescent="0.2">
      <c r="A11" s="181" t="s">
        <v>38</v>
      </c>
      <c r="B11" s="182"/>
      <c r="C11" s="183"/>
      <c r="D11" s="87">
        <v>208385</v>
      </c>
      <c r="E11" s="101">
        <v>5</v>
      </c>
      <c r="F11" s="88">
        <f t="shared" si="0"/>
        <v>100</v>
      </c>
      <c r="G11" s="89">
        <f t="shared" si="1"/>
        <v>12.290000000000001</v>
      </c>
      <c r="H11" s="96">
        <v>122.9</v>
      </c>
    </row>
    <row r="12" spans="1:8" ht="13.5" customHeight="1" x14ac:dyDescent="0.2">
      <c r="A12" s="174" t="s">
        <v>33</v>
      </c>
      <c r="B12" s="175"/>
      <c r="C12" s="175"/>
      <c r="D12" s="87">
        <v>229329</v>
      </c>
      <c r="E12" s="101">
        <v>5</v>
      </c>
      <c r="F12" s="88">
        <f t="shared" si="0"/>
        <v>100</v>
      </c>
      <c r="G12" s="89">
        <f t="shared" si="1"/>
        <v>11.295000000000002</v>
      </c>
      <c r="H12" s="96">
        <v>112.95</v>
      </c>
    </row>
    <row r="13" spans="1:8" ht="13.7" customHeight="1" x14ac:dyDescent="0.2">
      <c r="A13" s="174" t="s">
        <v>20</v>
      </c>
      <c r="B13" s="175"/>
      <c r="C13" s="175"/>
      <c r="D13" s="91">
        <v>223057</v>
      </c>
      <c r="E13" s="101">
        <v>2</v>
      </c>
      <c r="F13" s="88">
        <f t="shared" si="0"/>
        <v>40</v>
      </c>
      <c r="G13" s="89">
        <f t="shared" si="1"/>
        <v>0.29520000000000002</v>
      </c>
      <c r="H13" s="96">
        <v>7.38</v>
      </c>
    </row>
    <row r="14" spans="1:8" ht="14.1" customHeight="1" x14ac:dyDescent="0.2">
      <c r="A14" s="174" t="s">
        <v>21</v>
      </c>
      <c r="B14" s="175"/>
      <c r="C14" s="175"/>
      <c r="D14" s="91">
        <v>396524</v>
      </c>
      <c r="E14" s="101">
        <v>3</v>
      </c>
      <c r="F14" s="88">
        <f t="shared" si="0"/>
        <v>60</v>
      </c>
      <c r="G14" s="89">
        <f t="shared" si="1"/>
        <v>26.781600000000001</v>
      </c>
      <c r="H14" s="96">
        <v>446.36</v>
      </c>
    </row>
    <row r="15" spans="1:8" ht="14.1" customHeight="1" thickBot="1" x14ac:dyDescent="0.25">
      <c r="A15" s="179" t="s">
        <v>123</v>
      </c>
      <c r="B15" s="180"/>
      <c r="C15" s="180"/>
      <c r="D15" s="97">
        <v>377033</v>
      </c>
      <c r="E15" s="102">
        <v>50</v>
      </c>
      <c r="F15" s="98">
        <f t="shared" si="0"/>
        <v>1000</v>
      </c>
      <c r="G15" s="99">
        <f>(H15/1000)*F15</f>
        <v>185.9</v>
      </c>
      <c r="H15" s="103">
        <v>185.9</v>
      </c>
    </row>
    <row r="16" spans="1:8" ht="25.7" customHeight="1" thickBot="1" x14ac:dyDescent="0.25">
      <c r="A16" s="176" t="s">
        <v>22</v>
      </c>
      <c r="B16" s="177"/>
      <c r="C16" s="178"/>
      <c r="D16" s="43"/>
      <c r="E16" s="44">
        <f>SUM(E7:E15)</f>
        <v>315</v>
      </c>
      <c r="F16" s="44">
        <f>SUM(F7:F15)</f>
        <v>6300</v>
      </c>
      <c r="G16" s="45" t="s">
        <v>23</v>
      </c>
      <c r="H16" s="85">
        <f>SUM(G7:G15)</f>
        <v>711.26180000000011</v>
      </c>
    </row>
    <row r="17" spans="1:8" ht="51.75" customHeight="1" thickBot="1" x14ac:dyDescent="0.25">
      <c r="A17" s="108" t="s">
        <v>24</v>
      </c>
      <c r="B17" s="109"/>
      <c r="C17" s="110"/>
      <c r="D17" s="27">
        <f>H17/C4</f>
        <v>0.11289869841269842</v>
      </c>
      <c r="E17" s="23"/>
      <c r="F17" s="24"/>
      <c r="G17" s="25" t="s">
        <v>93</v>
      </c>
      <c r="H17" s="81">
        <f>H16/D2</f>
        <v>35.563090000000003</v>
      </c>
    </row>
    <row r="18" spans="1:8" ht="14.65" customHeight="1" thickBot="1" x14ac:dyDescent="0.25">
      <c r="A18" s="108" t="s">
        <v>26</v>
      </c>
      <c r="B18" s="109"/>
      <c r="C18" s="109"/>
      <c r="D18" s="111"/>
      <c r="E18" s="23"/>
      <c r="F18" s="24"/>
      <c r="G18" s="28"/>
      <c r="H18" s="82"/>
    </row>
    <row r="19" spans="1:8" ht="14.1" customHeight="1" x14ac:dyDescent="0.2">
      <c r="A19" s="121" t="s">
        <v>27</v>
      </c>
      <c r="B19" s="114"/>
      <c r="C19" s="112"/>
      <c r="D19" s="113"/>
      <c r="E19" s="114"/>
      <c r="F19" s="114"/>
      <c r="G19" s="114"/>
      <c r="H19" s="115"/>
    </row>
    <row r="20" spans="1:8" ht="183" customHeight="1" thickBot="1" x14ac:dyDescent="0.25">
      <c r="A20" s="120" t="s">
        <v>28</v>
      </c>
      <c r="B20" s="118"/>
      <c r="C20" s="116" t="s">
        <v>115</v>
      </c>
      <c r="D20" s="117"/>
      <c r="E20" s="118"/>
      <c r="F20" s="118"/>
      <c r="G20" s="118"/>
      <c r="H20" s="119"/>
    </row>
  </sheetData>
  <mergeCells count="27">
    <mergeCell ref="A7:C7"/>
    <mergeCell ref="A8:C8"/>
    <mergeCell ref="A9:C9"/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0:C10"/>
    <mergeCell ref="A12:C12"/>
    <mergeCell ref="A13:C13"/>
    <mergeCell ref="A16:C16"/>
    <mergeCell ref="A18:D18"/>
    <mergeCell ref="A15:C15"/>
    <mergeCell ref="A14:C14"/>
    <mergeCell ref="A11:C11"/>
    <mergeCell ref="C19:H19"/>
    <mergeCell ref="C20:H20"/>
    <mergeCell ref="A20:B20"/>
    <mergeCell ref="A19:B19"/>
    <mergeCell ref="A17:C17"/>
  </mergeCells>
  <pageMargins left="0.7" right="0.7" top="0.78740200000000005" bottom="0.78740200000000005" header="0.3" footer="0.3"/>
  <pageSetup scale="89" orientation="landscape" horizontalDpi="360" verticalDpi="360" r:id="rId1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2"/>
  <sheetViews>
    <sheetView workbookViewId="0">
      <selection activeCell="H18" sqref="H18"/>
    </sheetView>
  </sheetViews>
  <sheetFormatPr defaultColWidth="9" defaultRowHeight="12.75" x14ac:dyDescent="0.2"/>
  <cols>
    <col min="1" max="2" width="10" style="1" customWidth="1"/>
    <col min="3" max="8" width="20" style="1" customWidth="1"/>
    <col min="9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1</v>
      </c>
      <c r="E2" s="153" t="s">
        <v>2</v>
      </c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95" t="s">
        <v>84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434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47"/>
      <c r="E6" s="139"/>
      <c r="F6" s="140"/>
      <c r="G6" s="30" t="s">
        <v>11</v>
      </c>
      <c r="H6" s="79" t="s">
        <v>12</v>
      </c>
    </row>
    <row r="7" spans="1:8" ht="14.1" customHeight="1" x14ac:dyDescent="0.2">
      <c r="A7" s="192" t="s">
        <v>85</v>
      </c>
      <c r="B7" s="193"/>
      <c r="C7" s="194"/>
      <c r="D7" s="40">
        <v>198739</v>
      </c>
      <c r="E7" s="33">
        <v>150</v>
      </c>
      <c r="F7" s="34">
        <f t="shared" ref="F7:F17" si="0">E7*$D$2</f>
        <v>150</v>
      </c>
      <c r="G7" s="35">
        <f t="shared" ref="G7:G17" si="1">(H7/1000)*F7</f>
        <v>6.4635000000000007</v>
      </c>
      <c r="H7" s="80">
        <v>43.09</v>
      </c>
    </row>
    <row r="8" spans="1:8" ht="13.7" customHeight="1" x14ac:dyDescent="0.2">
      <c r="A8" s="134" t="s">
        <v>35</v>
      </c>
      <c r="B8" s="129"/>
      <c r="C8" s="130"/>
      <c r="D8" s="38" t="s">
        <v>18</v>
      </c>
      <c r="E8" s="9">
        <v>70</v>
      </c>
      <c r="F8" s="37">
        <f t="shared" si="0"/>
        <v>70</v>
      </c>
      <c r="G8" s="10">
        <f t="shared" si="1"/>
        <v>4.4450000000000003</v>
      </c>
      <c r="H8" s="50">
        <v>63.5</v>
      </c>
    </row>
    <row r="9" spans="1:8" ht="13.5" customHeight="1" x14ac:dyDescent="0.2">
      <c r="A9" s="196" t="s">
        <v>86</v>
      </c>
      <c r="B9" s="132"/>
      <c r="C9" s="133"/>
      <c r="D9" s="38">
        <v>401046</v>
      </c>
      <c r="E9" s="9">
        <v>210</v>
      </c>
      <c r="F9" s="37">
        <f t="shared" si="0"/>
        <v>210</v>
      </c>
      <c r="G9" s="10">
        <f t="shared" si="1"/>
        <v>8.9313000000000002</v>
      </c>
      <c r="H9" s="50">
        <v>42.53</v>
      </c>
    </row>
    <row r="10" spans="1:8" ht="13.7" customHeight="1" x14ac:dyDescent="0.2">
      <c r="A10" s="134" t="s">
        <v>87</v>
      </c>
      <c r="B10" s="129"/>
      <c r="C10" s="130"/>
      <c r="D10" s="38">
        <v>396555</v>
      </c>
      <c r="E10" s="9">
        <v>2</v>
      </c>
      <c r="F10" s="37">
        <f t="shared" si="0"/>
        <v>2</v>
      </c>
      <c r="G10" s="10">
        <f t="shared" si="1"/>
        <v>0.52944000000000002</v>
      </c>
      <c r="H10" s="50">
        <v>264.72000000000003</v>
      </c>
    </row>
    <row r="11" spans="1:8" ht="13.7" customHeight="1" x14ac:dyDescent="0.2">
      <c r="A11" s="196" t="s">
        <v>20</v>
      </c>
      <c r="B11" s="132"/>
      <c r="C11" s="133"/>
      <c r="D11" s="38">
        <v>223057</v>
      </c>
      <c r="E11" s="9">
        <v>1</v>
      </c>
      <c r="F11" s="37">
        <f t="shared" si="0"/>
        <v>1</v>
      </c>
      <c r="G11" s="10">
        <f t="shared" si="1"/>
        <v>7.3800000000000003E-3</v>
      </c>
      <c r="H11" s="50">
        <v>7.38</v>
      </c>
    </row>
    <row r="12" spans="1:8" ht="13.7" customHeight="1" x14ac:dyDescent="0.2">
      <c r="A12" s="196" t="s">
        <v>21</v>
      </c>
      <c r="B12" s="132"/>
      <c r="C12" s="133"/>
      <c r="D12" s="38">
        <v>396524</v>
      </c>
      <c r="E12" s="9">
        <v>1</v>
      </c>
      <c r="F12" s="37">
        <f t="shared" si="0"/>
        <v>1</v>
      </c>
      <c r="G12" s="10">
        <f t="shared" si="1"/>
        <v>0.44636000000000003</v>
      </c>
      <c r="H12" s="50">
        <v>446.36</v>
      </c>
    </row>
    <row r="13" spans="1:8" ht="13.7" customHeight="1" x14ac:dyDescent="0.2">
      <c r="A13" s="134"/>
      <c r="B13" s="129"/>
      <c r="C13" s="130"/>
      <c r="D13" s="38"/>
      <c r="E13" s="9"/>
      <c r="F13" s="37">
        <f t="shared" si="0"/>
        <v>0</v>
      </c>
      <c r="G13" s="10">
        <f t="shared" si="1"/>
        <v>0</v>
      </c>
      <c r="H13" s="50"/>
    </row>
    <row r="14" spans="1:8" ht="13.7" customHeight="1" x14ac:dyDescent="0.2">
      <c r="A14" s="134"/>
      <c r="B14" s="129"/>
      <c r="C14" s="130"/>
      <c r="D14" s="38"/>
      <c r="E14" s="9"/>
      <c r="F14" s="37">
        <f t="shared" si="0"/>
        <v>0</v>
      </c>
      <c r="G14" s="10">
        <f t="shared" si="1"/>
        <v>0</v>
      </c>
      <c r="H14" s="50"/>
    </row>
    <row r="15" spans="1:8" ht="13.7" customHeight="1" x14ac:dyDescent="0.2">
      <c r="A15" s="134"/>
      <c r="B15" s="129"/>
      <c r="C15" s="130"/>
      <c r="D15" s="38"/>
      <c r="E15" s="9"/>
      <c r="F15" s="37">
        <f t="shared" si="0"/>
        <v>0</v>
      </c>
      <c r="G15" s="10">
        <f t="shared" si="1"/>
        <v>0</v>
      </c>
      <c r="H15" s="50"/>
    </row>
    <row r="16" spans="1:8" ht="13.7" customHeight="1" x14ac:dyDescent="0.2">
      <c r="A16" s="134"/>
      <c r="B16" s="129"/>
      <c r="C16" s="130"/>
      <c r="D16" s="38"/>
      <c r="E16" s="9"/>
      <c r="F16" s="37">
        <f t="shared" si="0"/>
        <v>0</v>
      </c>
      <c r="G16" s="10">
        <f t="shared" si="1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19">
        <f t="shared" si="0"/>
        <v>0</v>
      </c>
      <c r="G17" s="21">
        <f t="shared" si="1"/>
        <v>0</v>
      </c>
      <c r="H17" s="51"/>
    </row>
    <row r="18" spans="1:8" ht="34.5" customHeight="1" thickBot="1" x14ac:dyDescent="0.25">
      <c r="A18" s="108" t="s">
        <v>22</v>
      </c>
      <c r="B18" s="109"/>
      <c r="C18" s="110"/>
      <c r="D18" s="23"/>
      <c r="E18" s="24">
        <f>SUM(E7:E17)</f>
        <v>434</v>
      </c>
      <c r="F18" s="24">
        <f>SUM(F7:F17)</f>
        <v>434</v>
      </c>
      <c r="G18" s="25" t="s">
        <v>23</v>
      </c>
      <c r="H18" s="81">
        <f>SUM(G7:G17)</f>
        <v>20.822980000000001</v>
      </c>
    </row>
    <row r="19" spans="1:8" ht="51.75" customHeight="1" thickBot="1" x14ac:dyDescent="0.25">
      <c r="A19" s="108" t="s">
        <v>24</v>
      </c>
      <c r="B19" s="109"/>
      <c r="C19" s="110"/>
      <c r="D19" s="41">
        <f>H19/C4</f>
        <v>4.7979216589861755E-2</v>
      </c>
      <c r="E19" s="23"/>
      <c r="F19" s="24"/>
      <c r="G19" s="25" t="s">
        <v>93</v>
      </c>
      <c r="H19" s="81">
        <f>H18/D2</f>
        <v>20.822980000000001</v>
      </c>
    </row>
    <row r="20" spans="1:8" ht="14.65" customHeight="1" x14ac:dyDescent="0.2">
      <c r="A20" s="197" t="s">
        <v>26</v>
      </c>
      <c r="B20" s="198"/>
      <c r="C20" s="198"/>
      <c r="D20" s="199"/>
      <c r="E20" s="104"/>
      <c r="F20" s="105"/>
      <c r="G20" s="106"/>
      <c r="H20" s="107"/>
    </row>
    <row r="21" spans="1:8" ht="14.1" customHeight="1" x14ac:dyDescent="0.2">
      <c r="A21" s="200" t="s">
        <v>27</v>
      </c>
      <c r="B21" s="201"/>
      <c r="C21" s="202"/>
      <c r="D21" s="203"/>
      <c r="E21" s="201"/>
      <c r="F21" s="201"/>
      <c r="G21" s="201"/>
      <c r="H21" s="201"/>
    </row>
    <row r="22" spans="1:8" ht="151.5" customHeight="1" x14ac:dyDescent="0.2">
      <c r="A22" s="204" t="s">
        <v>28</v>
      </c>
      <c r="B22" s="201"/>
      <c r="C22" s="205" t="s">
        <v>116</v>
      </c>
      <c r="D22" s="203"/>
      <c r="E22" s="201"/>
      <c r="F22" s="201"/>
      <c r="G22" s="201"/>
      <c r="H22" s="201"/>
    </row>
  </sheetData>
  <mergeCells count="29">
    <mergeCell ref="A20:D20"/>
    <mergeCell ref="A21:B21"/>
    <mergeCell ref="C21:H21"/>
    <mergeCell ref="A22:B22"/>
    <mergeCell ref="C22:H22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7:C7"/>
    <mergeCell ref="A1:H1"/>
    <mergeCell ref="A2:C2"/>
    <mergeCell ref="E2:H2"/>
    <mergeCell ref="A3:C3"/>
    <mergeCell ref="D3:H3"/>
    <mergeCell ref="A4:B4"/>
    <mergeCell ref="A5:C6"/>
    <mergeCell ref="D5:D6"/>
    <mergeCell ref="E5:E6"/>
    <mergeCell ref="F5:F6"/>
    <mergeCell ref="G5:H5"/>
  </mergeCells>
  <pageMargins left="0.7" right="0.7" top="0.78740157499999996" bottom="0.78740157499999996" header="0.3" footer="0.3"/>
  <pageSetup paperSize="9" scale="93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2"/>
  <sheetViews>
    <sheetView showGridLines="0" workbookViewId="0">
      <selection activeCell="J14" sqref="J14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1</v>
      </c>
      <c r="E2" s="171"/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39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390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47"/>
      <c r="E6" s="139"/>
      <c r="F6" s="140"/>
      <c r="G6" s="30" t="s">
        <v>11</v>
      </c>
      <c r="H6" s="79" t="s">
        <v>12</v>
      </c>
    </row>
    <row r="7" spans="1:8" ht="14.1" customHeight="1" x14ac:dyDescent="0.2">
      <c r="A7" s="125" t="s">
        <v>100</v>
      </c>
      <c r="B7" s="126"/>
      <c r="C7" s="127"/>
      <c r="D7" s="39" t="s">
        <v>88</v>
      </c>
      <c r="E7" s="33">
        <v>380</v>
      </c>
      <c r="F7" s="33">
        <f t="shared" ref="F7:F17" si="0">E7*$D$2</f>
        <v>380</v>
      </c>
      <c r="G7" s="35">
        <f t="shared" ref="G7:G17" si="1">(H7/1000)*F7</f>
        <v>56.239999999999995</v>
      </c>
      <c r="H7" s="80">
        <v>148</v>
      </c>
    </row>
    <row r="8" spans="1:8" ht="13.5" customHeight="1" x14ac:dyDescent="0.2">
      <c r="A8" s="128" t="s">
        <v>40</v>
      </c>
      <c r="B8" s="129"/>
      <c r="C8" s="130"/>
      <c r="D8" s="8">
        <v>449603</v>
      </c>
      <c r="E8" s="9">
        <v>5</v>
      </c>
      <c r="F8" s="9">
        <f t="shared" si="0"/>
        <v>5</v>
      </c>
      <c r="G8" s="10">
        <f t="shared" si="1"/>
        <v>0.96565000000000001</v>
      </c>
      <c r="H8" s="50">
        <v>193.13</v>
      </c>
    </row>
    <row r="9" spans="1:8" ht="13.7" customHeight="1" x14ac:dyDescent="0.2">
      <c r="A9" s="128" t="s">
        <v>20</v>
      </c>
      <c r="B9" s="129"/>
      <c r="C9" s="130"/>
      <c r="D9" s="8">
        <v>223057</v>
      </c>
      <c r="E9" s="9">
        <v>5</v>
      </c>
      <c r="F9" s="9">
        <f t="shared" si="0"/>
        <v>5</v>
      </c>
      <c r="G9" s="10">
        <f t="shared" si="1"/>
        <v>3.6900000000000002E-2</v>
      </c>
      <c r="H9" s="50">
        <v>7.38</v>
      </c>
    </row>
    <row r="10" spans="1:8" ht="13.7" customHeight="1" x14ac:dyDescent="0.2">
      <c r="A10" s="134"/>
      <c r="B10" s="129"/>
      <c r="C10" s="130"/>
      <c r="D10" s="38"/>
      <c r="E10" s="9"/>
      <c r="F10" s="9">
        <f t="shared" si="0"/>
        <v>0</v>
      </c>
      <c r="G10" s="10">
        <f t="shared" si="1"/>
        <v>0</v>
      </c>
      <c r="H10" s="50"/>
    </row>
    <row r="11" spans="1:8" ht="13.7" customHeight="1" x14ac:dyDescent="0.2">
      <c r="A11" s="134"/>
      <c r="B11" s="129"/>
      <c r="C11" s="130"/>
      <c r="D11" s="38"/>
      <c r="E11" s="9"/>
      <c r="F11" s="9">
        <f t="shared" si="0"/>
        <v>0</v>
      </c>
      <c r="G11" s="10">
        <f t="shared" si="1"/>
        <v>0</v>
      </c>
      <c r="H11" s="50"/>
    </row>
    <row r="12" spans="1:8" ht="13.7" customHeight="1" x14ac:dyDescent="0.2">
      <c r="A12" s="134"/>
      <c r="B12" s="129"/>
      <c r="C12" s="130"/>
      <c r="D12" s="38"/>
      <c r="E12" s="9"/>
      <c r="F12" s="9">
        <f t="shared" si="0"/>
        <v>0</v>
      </c>
      <c r="G12" s="10">
        <f t="shared" si="1"/>
        <v>0</v>
      </c>
      <c r="H12" s="50"/>
    </row>
    <row r="13" spans="1:8" ht="13.7" customHeight="1" x14ac:dyDescent="0.2">
      <c r="A13" s="134"/>
      <c r="B13" s="129"/>
      <c r="C13" s="130"/>
      <c r="D13" s="38"/>
      <c r="E13" s="9"/>
      <c r="F13" s="9">
        <f t="shared" si="0"/>
        <v>0</v>
      </c>
      <c r="G13" s="10">
        <f t="shared" si="1"/>
        <v>0</v>
      </c>
      <c r="H13" s="50"/>
    </row>
    <row r="14" spans="1:8" ht="13.7" customHeight="1" x14ac:dyDescent="0.2">
      <c r="A14" s="134"/>
      <c r="B14" s="129"/>
      <c r="C14" s="130"/>
      <c r="D14" s="38"/>
      <c r="E14" s="9"/>
      <c r="F14" s="9">
        <f t="shared" si="0"/>
        <v>0</v>
      </c>
      <c r="G14" s="10">
        <f t="shared" si="1"/>
        <v>0</v>
      </c>
      <c r="H14" s="50"/>
    </row>
    <row r="15" spans="1:8" ht="13.7" customHeight="1" x14ac:dyDescent="0.2">
      <c r="A15" s="134"/>
      <c r="B15" s="129"/>
      <c r="C15" s="130"/>
      <c r="D15" s="38"/>
      <c r="E15" s="9"/>
      <c r="F15" s="9">
        <f t="shared" si="0"/>
        <v>0</v>
      </c>
      <c r="G15" s="10">
        <f t="shared" si="1"/>
        <v>0</v>
      </c>
      <c r="H15" s="50"/>
    </row>
    <row r="16" spans="1:8" ht="13.7" customHeight="1" x14ac:dyDescent="0.2">
      <c r="A16" s="134"/>
      <c r="B16" s="129"/>
      <c r="C16" s="130"/>
      <c r="D16" s="38"/>
      <c r="E16" s="9"/>
      <c r="F16" s="9">
        <f t="shared" si="0"/>
        <v>0</v>
      </c>
      <c r="G16" s="10">
        <f t="shared" si="1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20">
        <f t="shared" si="0"/>
        <v>0</v>
      </c>
      <c r="G17" s="21">
        <f t="shared" si="1"/>
        <v>0</v>
      </c>
      <c r="H17" s="51"/>
    </row>
    <row r="18" spans="1:8" ht="25.7" customHeight="1" thickBot="1" x14ac:dyDescent="0.25">
      <c r="A18" s="108" t="s">
        <v>22</v>
      </c>
      <c r="B18" s="109"/>
      <c r="C18" s="110"/>
      <c r="D18" s="23"/>
      <c r="E18" s="24">
        <f>SUM(E7:E17)</f>
        <v>390</v>
      </c>
      <c r="F18" s="24">
        <f>SUM(F7:F17)</f>
        <v>390</v>
      </c>
      <c r="G18" s="25" t="s">
        <v>23</v>
      </c>
      <c r="H18" s="81">
        <f>SUM(G7:G17)</f>
        <v>57.242549999999994</v>
      </c>
    </row>
    <row r="19" spans="1:8" ht="51.75" customHeight="1" thickBot="1" x14ac:dyDescent="0.25">
      <c r="A19" s="108" t="s">
        <v>24</v>
      </c>
      <c r="B19" s="109"/>
      <c r="C19" s="110"/>
      <c r="D19" s="27">
        <f>H19/C4</f>
        <v>0.14677576923076921</v>
      </c>
      <c r="E19" s="23"/>
      <c r="F19" s="24"/>
      <c r="G19" s="25" t="s">
        <v>93</v>
      </c>
      <c r="H19" s="81">
        <f>H18/D2</f>
        <v>57.242549999999994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4.1" customHeight="1" x14ac:dyDescent="0.2">
      <c r="A21" s="121" t="s">
        <v>27</v>
      </c>
      <c r="B21" s="114"/>
      <c r="C21" s="112"/>
      <c r="D21" s="113"/>
      <c r="E21" s="114"/>
      <c r="F21" s="114"/>
      <c r="G21" s="114"/>
      <c r="H21" s="115"/>
    </row>
    <row r="22" spans="1:8" ht="135" customHeight="1" thickBot="1" x14ac:dyDescent="0.25">
      <c r="A22" s="120" t="s">
        <v>28</v>
      </c>
      <c r="B22" s="118"/>
      <c r="C22" s="116" t="s">
        <v>117</v>
      </c>
      <c r="D22" s="117"/>
      <c r="E22" s="118"/>
      <c r="F22" s="118"/>
      <c r="G22" s="118"/>
      <c r="H22" s="119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20:D20"/>
    <mergeCell ref="C21:H21"/>
    <mergeCell ref="C22:H22"/>
    <mergeCell ref="A22:B22"/>
    <mergeCell ref="A21:B21"/>
    <mergeCell ref="A19:C19"/>
  </mergeCells>
  <pageMargins left="0.7" right="0.7" top="0.78740200000000005" bottom="0.78740200000000005" header="0.3" footer="0.3"/>
  <pageSetup scale="89" orientation="landscape" horizontalDpi="360" verticalDpi="360" r:id="rId1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2"/>
  <sheetViews>
    <sheetView showGridLines="0" topLeftCell="B1" workbookViewId="0">
      <selection activeCell="I21" sqref="I21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1</v>
      </c>
      <c r="E2" s="171"/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41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1200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47"/>
      <c r="E6" s="139"/>
      <c r="F6" s="140"/>
      <c r="G6" s="30" t="s">
        <v>11</v>
      </c>
      <c r="H6" s="79" t="s">
        <v>12</v>
      </c>
    </row>
    <row r="7" spans="1:8" ht="14.1" customHeight="1" x14ac:dyDescent="0.2">
      <c r="A7" s="125" t="s">
        <v>78</v>
      </c>
      <c r="B7" s="126"/>
      <c r="C7" s="127"/>
      <c r="D7" s="32" t="s">
        <v>42</v>
      </c>
      <c r="E7" s="33">
        <v>1080</v>
      </c>
      <c r="F7" s="33">
        <f t="shared" ref="F7:F17" si="0">E7*$D$2</f>
        <v>1080</v>
      </c>
      <c r="G7" s="35">
        <f t="shared" ref="G7:G17" si="1">(H7/1000)*F7</f>
        <v>59.4</v>
      </c>
      <c r="H7" s="80">
        <v>55</v>
      </c>
    </row>
    <row r="8" spans="1:8" ht="13.5" customHeight="1" x14ac:dyDescent="0.2">
      <c r="A8" s="128" t="s">
        <v>14</v>
      </c>
      <c r="B8" s="129"/>
      <c r="C8" s="130"/>
      <c r="D8" s="8" t="s">
        <v>18</v>
      </c>
      <c r="E8" s="9">
        <v>20</v>
      </c>
      <c r="F8" s="9">
        <f t="shared" si="0"/>
        <v>20</v>
      </c>
      <c r="G8" s="10">
        <f t="shared" si="1"/>
        <v>0.438</v>
      </c>
      <c r="H8" s="50">
        <v>21.9</v>
      </c>
    </row>
    <row r="9" spans="1:8" ht="13.7" customHeight="1" x14ac:dyDescent="0.2">
      <c r="A9" s="128" t="s">
        <v>15</v>
      </c>
      <c r="B9" s="129"/>
      <c r="C9" s="130"/>
      <c r="D9" s="16" t="s">
        <v>18</v>
      </c>
      <c r="E9" s="9">
        <v>10</v>
      </c>
      <c r="F9" s="9">
        <f t="shared" si="0"/>
        <v>10</v>
      </c>
      <c r="G9" s="10">
        <f t="shared" si="1"/>
        <v>2.29</v>
      </c>
      <c r="H9" s="50">
        <v>229</v>
      </c>
    </row>
    <row r="10" spans="1:8" ht="13.7" customHeight="1" x14ac:dyDescent="0.2">
      <c r="A10" s="131" t="s">
        <v>43</v>
      </c>
      <c r="B10" s="132"/>
      <c r="C10" s="133"/>
      <c r="D10" s="16">
        <v>349179</v>
      </c>
      <c r="E10" s="9">
        <v>5</v>
      </c>
      <c r="F10" s="9">
        <f t="shared" si="0"/>
        <v>5</v>
      </c>
      <c r="G10" s="10">
        <f t="shared" si="1"/>
        <v>0.47</v>
      </c>
      <c r="H10" s="50">
        <v>94</v>
      </c>
    </row>
    <row r="11" spans="1:8" ht="13.7" customHeight="1" x14ac:dyDescent="0.2">
      <c r="A11" s="128" t="s">
        <v>44</v>
      </c>
      <c r="B11" s="129"/>
      <c r="C11" s="130"/>
      <c r="D11" s="16">
        <v>168956</v>
      </c>
      <c r="E11" s="9">
        <v>5</v>
      </c>
      <c r="F11" s="9">
        <f t="shared" si="0"/>
        <v>5</v>
      </c>
      <c r="G11" s="10">
        <f>(H11/1000)*F11</f>
        <v>0.1145</v>
      </c>
      <c r="H11" s="50">
        <v>22.9</v>
      </c>
    </row>
    <row r="12" spans="1:8" ht="13.7" customHeight="1" x14ac:dyDescent="0.2">
      <c r="A12" s="128" t="s">
        <v>45</v>
      </c>
      <c r="B12" s="129"/>
      <c r="C12" s="130"/>
      <c r="D12" s="16">
        <v>381223</v>
      </c>
      <c r="E12" s="9">
        <v>5</v>
      </c>
      <c r="F12" s="9">
        <f t="shared" si="0"/>
        <v>5</v>
      </c>
      <c r="G12" s="10">
        <f t="shared" si="1"/>
        <v>0.92439999999999989</v>
      </c>
      <c r="H12" s="50">
        <v>184.88</v>
      </c>
    </row>
    <row r="13" spans="1:8" ht="13.7" customHeight="1" x14ac:dyDescent="0.2">
      <c r="A13" s="128" t="s">
        <v>20</v>
      </c>
      <c r="B13" s="129"/>
      <c r="C13" s="130"/>
      <c r="D13" s="8">
        <v>223057</v>
      </c>
      <c r="E13" s="9">
        <v>5</v>
      </c>
      <c r="F13" s="9">
        <f t="shared" si="0"/>
        <v>5</v>
      </c>
      <c r="G13" s="10">
        <f t="shared" si="1"/>
        <v>3.6900000000000002E-2</v>
      </c>
      <c r="H13" s="50">
        <v>7.38</v>
      </c>
    </row>
    <row r="14" spans="1:8" ht="13.7" customHeight="1" x14ac:dyDescent="0.2">
      <c r="A14" s="134" t="s">
        <v>63</v>
      </c>
      <c r="B14" s="129"/>
      <c r="C14" s="130"/>
      <c r="D14" s="16" t="s">
        <v>18</v>
      </c>
      <c r="E14" s="9">
        <v>70</v>
      </c>
      <c r="F14" s="9">
        <f t="shared" si="0"/>
        <v>70</v>
      </c>
      <c r="G14" s="10">
        <f t="shared" si="1"/>
        <v>1.645</v>
      </c>
      <c r="H14" s="50">
        <v>23.5</v>
      </c>
    </row>
    <row r="15" spans="1:8" ht="13.7" customHeight="1" x14ac:dyDescent="0.2">
      <c r="A15" s="134"/>
      <c r="B15" s="129"/>
      <c r="C15" s="130"/>
      <c r="D15" s="38"/>
      <c r="E15" s="9"/>
      <c r="F15" s="9">
        <f t="shared" si="0"/>
        <v>0</v>
      </c>
      <c r="G15" s="10">
        <f t="shared" si="1"/>
        <v>0</v>
      </c>
      <c r="H15" s="50"/>
    </row>
    <row r="16" spans="1:8" ht="13.7" customHeight="1" x14ac:dyDescent="0.2">
      <c r="A16" s="134"/>
      <c r="B16" s="129"/>
      <c r="C16" s="130"/>
      <c r="D16" s="38"/>
      <c r="E16" s="9"/>
      <c r="F16" s="9">
        <f t="shared" si="0"/>
        <v>0</v>
      </c>
      <c r="G16" s="10">
        <f t="shared" si="1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20">
        <f t="shared" si="0"/>
        <v>0</v>
      </c>
      <c r="G17" s="21">
        <f t="shared" si="1"/>
        <v>0</v>
      </c>
      <c r="H17" s="51"/>
    </row>
    <row r="18" spans="1:8" ht="25.7" customHeight="1" thickBot="1" x14ac:dyDescent="0.25">
      <c r="A18" s="108" t="s">
        <v>22</v>
      </c>
      <c r="B18" s="109"/>
      <c r="C18" s="110"/>
      <c r="D18" s="23"/>
      <c r="E18" s="24">
        <f>SUM(E7:E17)</f>
        <v>1200</v>
      </c>
      <c r="F18" s="24">
        <f>SUM(F7:F17)</f>
        <v>1200</v>
      </c>
      <c r="G18" s="25" t="s">
        <v>23</v>
      </c>
      <c r="H18" s="81">
        <f>SUM(G7:G17)</f>
        <v>65.318799999999996</v>
      </c>
    </row>
    <row r="19" spans="1:8" ht="51.75" customHeight="1" thickBot="1" x14ac:dyDescent="0.25">
      <c r="A19" s="108" t="s">
        <v>24</v>
      </c>
      <c r="B19" s="109"/>
      <c r="C19" s="110"/>
      <c r="D19" s="27">
        <f>H19/C4</f>
        <v>5.4432333333333333E-2</v>
      </c>
      <c r="E19" s="23"/>
      <c r="F19" s="24"/>
      <c r="G19" s="25" t="s">
        <v>93</v>
      </c>
      <c r="H19" s="81">
        <f>H18/D2</f>
        <v>65.318799999999996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59.75" customHeight="1" x14ac:dyDescent="0.2">
      <c r="A21" s="121" t="s">
        <v>27</v>
      </c>
      <c r="B21" s="114"/>
      <c r="C21" s="206" t="s">
        <v>102</v>
      </c>
      <c r="D21" s="207"/>
      <c r="E21" s="208"/>
      <c r="F21" s="208"/>
      <c r="G21" s="208"/>
      <c r="H21" s="209"/>
    </row>
    <row r="22" spans="1:8" ht="15.2" customHeight="1" thickBot="1" x14ac:dyDescent="0.25">
      <c r="A22" s="120" t="s">
        <v>28</v>
      </c>
      <c r="B22" s="118"/>
      <c r="C22" s="116"/>
      <c r="D22" s="117"/>
      <c r="E22" s="118"/>
      <c r="F22" s="118"/>
      <c r="G22" s="118"/>
      <c r="H22" s="119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20:D20"/>
    <mergeCell ref="C21:H21"/>
    <mergeCell ref="C22:H22"/>
    <mergeCell ref="A22:B22"/>
    <mergeCell ref="A21:B21"/>
    <mergeCell ref="A19:C19"/>
  </mergeCells>
  <pageMargins left="0.7" right="0.7" top="0.78740200000000005" bottom="0.78740200000000005" header="0.3" footer="0.3"/>
  <pageSetup scale="89" orientation="landscape" horizontalDpi="360" verticalDpi="360" r:id="rId1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2"/>
  <sheetViews>
    <sheetView showGridLines="0" topLeftCell="B1" workbookViewId="0">
      <selection activeCell="H7" sqref="H7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120</v>
      </c>
      <c r="E2" s="171"/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46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230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47"/>
      <c r="E6" s="139"/>
      <c r="F6" s="140"/>
      <c r="G6" s="30" t="s">
        <v>11</v>
      </c>
      <c r="H6" s="79" t="s">
        <v>12</v>
      </c>
    </row>
    <row r="7" spans="1:8" ht="14.1" customHeight="1" x14ac:dyDescent="0.2">
      <c r="A7" s="210" t="s">
        <v>47</v>
      </c>
      <c r="B7" s="193"/>
      <c r="C7" s="194"/>
      <c r="D7" s="39" t="s">
        <v>121</v>
      </c>
      <c r="E7" s="33">
        <v>180</v>
      </c>
      <c r="F7" s="33">
        <f t="shared" ref="F7:F17" si="0">E7*$D$2</f>
        <v>21600</v>
      </c>
      <c r="G7" s="35">
        <f t="shared" ref="G7:G17" si="1">(H7/1000)*F7</f>
        <v>9266.4</v>
      </c>
      <c r="H7" s="80">
        <v>429</v>
      </c>
    </row>
    <row r="8" spans="1:8" ht="13.7" customHeight="1" x14ac:dyDescent="0.2">
      <c r="A8" s="131" t="s">
        <v>89</v>
      </c>
      <c r="B8" s="132"/>
      <c r="C8" s="133"/>
      <c r="D8" s="16">
        <v>396555</v>
      </c>
      <c r="E8" s="9">
        <v>10</v>
      </c>
      <c r="F8" s="9">
        <f t="shared" si="0"/>
        <v>1200</v>
      </c>
      <c r="G8" s="10">
        <v>252</v>
      </c>
      <c r="H8" s="50">
        <v>264.72000000000003</v>
      </c>
    </row>
    <row r="9" spans="1:8" ht="13.7" customHeight="1" x14ac:dyDescent="0.2">
      <c r="A9" s="131" t="s">
        <v>38</v>
      </c>
      <c r="B9" s="132"/>
      <c r="C9" s="133"/>
      <c r="D9" s="16">
        <v>208385</v>
      </c>
      <c r="E9" s="9">
        <v>7</v>
      </c>
      <c r="F9" s="9">
        <f t="shared" si="0"/>
        <v>840</v>
      </c>
      <c r="G9" s="10">
        <f t="shared" si="1"/>
        <v>103.236</v>
      </c>
      <c r="H9" s="50">
        <v>122.9</v>
      </c>
    </row>
    <row r="10" spans="1:8" ht="13.5" customHeight="1" x14ac:dyDescent="0.2">
      <c r="A10" s="128" t="s">
        <v>49</v>
      </c>
      <c r="B10" s="129"/>
      <c r="C10" s="130"/>
      <c r="D10" s="16" t="s">
        <v>18</v>
      </c>
      <c r="E10" s="9">
        <v>25</v>
      </c>
      <c r="F10" s="9">
        <f t="shared" si="0"/>
        <v>3000</v>
      </c>
      <c r="G10" s="10">
        <f>(H10/1000)*F10</f>
        <v>174</v>
      </c>
      <c r="H10" s="50">
        <v>58</v>
      </c>
    </row>
    <row r="11" spans="1:8" ht="13.7" customHeight="1" x14ac:dyDescent="0.2">
      <c r="A11" s="128" t="s">
        <v>20</v>
      </c>
      <c r="B11" s="129"/>
      <c r="C11" s="130"/>
      <c r="D11" s="8">
        <v>223057</v>
      </c>
      <c r="E11" s="9">
        <v>5</v>
      </c>
      <c r="F11" s="9">
        <f t="shared" si="0"/>
        <v>600</v>
      </c>
      <c r="G11" s="10">
        <f t="shared" si="1"/>
        <v>4.4279999999999999</v>
      </c>
      <c r="H11" s="50">
        <v>7.38</v>
      </c>
    </row>
    <row r="12" spans="1:8" ht="13.7" customHeight="1" x14ac:dyDescent="0.2">
      <c r="A12" s="131" t="s">
        <v>21</v>
      </c>
      <c r="B12" s="132"/>
      <c r="C12" s="133"/>
      <c r="D12" s="8">
        <v>396524</v>
      </c>
      <c r="E12" s="9">
        <v>3</v>
      </c>
      <c r="F12" s="9">
        <f t="shared" si="0"/>
        <v>360</v>
      </c>
      <c r="G12" s="10">
        <f t="shared" si="1"/>
        <v>160.68960000000001</v>
      </c>
      <c r="H12" s="50">
        <v>446.36</v>
      </c>
    </row>
    <row r="13" spans="1:8" ht="13.7" customHeight="1" x14ac:dyDescent="0.2">
      <c r="A13" s="134"/>
      <c r="B13" s="129"/>
      <c r="C13" s="130"/>
      <c r="D13" s="38"/>
      <c r="E13" s="9"/>
      <c r="F13" s="9">
        <f t="shared" si="0"/>
        <v>0</v>
      </c>
      <c r="G13" s="10">
        <f t="shared" si="1"/>
        <v>0</v>
      </c>
      <c r="H13" s="50"/>
    </row>
    <row r="14" spans="1:8" ht="13.7" customHeight="1" x14ac:dyDescent="0.2">
      <c r="A14" s="134"/>
      <c r="B14" s="129"/>
      <c r="C14" s="130"/>
      <c r="D14" s="38"/>
      <c r="E14" s="9"/>
      <c r="F14" s="9">
        <f t="shared" si="0"/>
        <v>0</v>
      </c>
      <c r="G14" s="10">
        <f t="shared" si="1"/>
        <v>0</v>
      </c>
      <c r="H14" s="50"/>
    </row>
    <row r="15" spans="1:8" ht="13.7" customHeight="1" x14ac:dyDescent="0.2">
      <c r="A15" s="134"/>
      <c r="B15" s="129"/>
      <c r="C15" s="130"/>
      <c r="D15" s="38"/>
      <c r="E15" s="9"/>
      <c r="F15" s="9">
        <f t="shared" si="0"/>
        <v>0</v>
      </c>
      <c r="G15" s="10">
        <f t="shared" si="1"/>
        <v>0</v>
      </c>
      <c r="H15" s="50"/>
    </row>
    <row r="16" spans="1:8" ht="13.7" customHeight="1" x14ac:dyDescent="0.2">
      <c r="A16" s="134"/>
      <c r="B16" s="129"/>
      <c r="C16" s="130"/>
      <c r="D16" s="38"/>
      <c r="E16" s="9"/>
      <c r="F16" s="9">
        <f t="shared" si="0"/>
        <v>0</v>
      </c>
      <c r="G16" s="10">
        <f t="shared" si="1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20">
        <f t="shared" si="0"/>
        <v>0</v>
      </c>
      <c r="G17" s="21">
        <f t="shared" si="1"/>
        <v>0</v>
      </c>
      <c r="H17" s="51"/>
    </row>
    <row r="18" spans="1:8" ht="25.7" customHeight="1" thickBot="1" x14ac:dyDescent="0.25">
      <c r="A18" s="108" t="s">
        <v>22</v>
      </c>
      <c r="B18" s="109"/>
      <c r="C18" s="110"/>
      <c r="D18" s="23"/>
      <c r="E18" s="24">
        <f>SUM(E7:E17)</f>
        <v>230</v>
      </c>
      <c r="F18" s="24">
        <f>SUM(F7:F17)</f>
        <v>27600</v>
      </c>
      <c r="G18" s="25" t="s">
        <v>23</v>
      </c>
      <c r="H18" s="81">
        <f>SUM(G7:G17)</f>
        <v>9960.7536</v>
      </c>
    </row>
    <row r="19" spans="1:8" ht="51.75" customHeight="1" thickBot="1" x14ac:dyDescent="0.25">
      <c r="A19" s="108" t="s">
        <v>24</v>
      </c>
      <c r="B19" s="109"/>
      <c r="C19" s="110"/>
      <c r="D19" s="27">
        <f>H19/C4</f>
        <v>0.36089686956521738</v>
      </c>
      <c r="E19" s="23"/>
      <c r="F19" s="24"/>
      <c r="G19" s="25" t="s">
        <v>93</v>
      </c>
      <c r="H19" s="81">
        <f>H18/D2</f>
        <v>83.006280000000004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4.1" customHeight="1" x14ac:dyDescent="0.2">
      <c r="A21" s="121" t="s">
        <v>27</v>
      </c>
      <c r="B21" s="114"/>
      <c r="C21" s="112"/>
      <c r="D21" s="113"/>
      <c r="E21" s="114"/>
      <c r="F21" s="114"/>
      <c r="G21" s="114"/>
      <c r="H21" s="115"/>
    </row>
    <row r="22" spans="1:8" ht="55.5" customHeight="1" thickBot="1" x14ac:dyDescent="0.25">
      <c r="A22" s="120" t="s">
        <v>28</v>
      </c>
      <c r="B22" s="118"/>
      <c r="C22" s="116" t="s">
        <v>103</v>
      </c>
      <c r="D22" s="117"/>
      <c r="E22" s="118"/>
      <c r="F22" s="118"/>
      <c r="G22" s="118"/>
      <c r="H22" s="119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20:D20"/>
    <mergeCell ref="C21:H21"/>
    <mergeCell ref="C22:H22"/>
    <mergeCell ref="A22:B22"/>
    <mergeCell ref="A21:B21"/>
    <mergeCell ref="A19:C19"/>
  </mergeCells>
  <pageMargins left="0.7" right="0.7" top="0.78740200000000005" bottom="0.78740200000000005" header="0.3" footer="0.3"/>
  <pageSetup scale="89" orientation="landscape" horizontalDpi="360" verticalDpi="360" r:id="rId1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22"/>
  <sheetViews>
    <sheetView showGridLines="0" workbookViewId="0">
      <selection activeCell="K14" sqref="K14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1</v>
      </c>
      <c r="E2" s="171"/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50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350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47"/>
      <c r="E6" s="139"/>
      <c r="F6" s="140"/>
      <c r="G6" s="30" t="s">
        <v>11</v>
      </c>
      <c r="H6" s="79" t="s">
        <v>12</v>
      </c>
    </row>
    <row r="7" spans="1:8" ht="14.1" customHeight="1" x14ac:dyDescent="0.2">
      <c r="A7" s="210" t="s">
        <v>92</v>
      </c>
      <c r="B7" s="218"/>
      <c r="C7" s="219"/>
      <c r="D7" s="39">
        <v>411743</v>
      </c>
      <c r="E7" s="33">
        <v>300</v>
      </c>
      <c r="F7" s="33">
        <f t="shared" ref="F7:F17" si="0">E7*$D$2</f>
        <v>300</v>
      </c>
      <c r="G7" s="35">
        <f t="shared" ref="G7:G17" si="1">(H7/1000)*F7</f>
        <v>60.300000000000004</v>
      </c>
      <c r="H7" s="80">
        <v>201</v>
      </c>
    </row>
    <row r="8" spans="1:8" ht="13.7" customHeight="1" x14ac:dyDescent="0.2">
      <c r="A8" s="131" t="s">
        <v>48</v>
      </c>
      <c r="B8" s="132"/>
      <c r="C8" s="133"/>
      <c r="D8" s="14" t="s">
        <v>101</v>
      </c>
      <c r="E8" s="9">
        <v>5</v>
      </c>
      <c r="F8" s="9">
        <f t="shared" si="0"/>
        <v>5</v>
      </c>
      <c r="G8" s="10">
        <f t="shared" si="1"/>
        <v>3.085</v>
      </c>
      <c r="H8" s="50">
        <v>617</v>
      </c>
    </row>
    <row r="9" spans="1:8" ht="13.7" customHeight="1" x14ac:dyDescent="0.2">
      <c r="A9" s="131" t="s">
        <v>51</v>
      </c>
      <c r="B9" s="132"/>
      <c r="C9" s="133"/>
      <c r="D9" s="16" t="s">
        <v>18</v>
      </c>
      <c r="E9" s="9">
        <v>30</v>
      </c>
      <c r="F9" s="9">
        <f t="shared" si="0"/>
        <v>30</v>
      </c>
      <c r="G9" s="10">
        <f t="shared" si="1"/>
        <v>1.74</v>
      </c>
      <c r="H9" s="50">
        <v>58</v>
      </c>
    </row>
    <row r="10" spans="1:8" ht="13.7" customHeight="1" x14ac:dyDescent="0.2">
      <c r="A10" s="131" t="s">
        <v>38</v>
      </c>
      <c r="B10" s="132"/>
      <c r="C10" s="133"/>
      <c r="D10" s="16">
        <v>208385</v>
      </c>
      <c r="E10" s="9">
        <v>2</v>
      </c>
      <c r="F10" s="9">
        <f t="shared" si="0"/>
        <v>2</v>
      </c>
      <c r="G10" s="10">
        <f t="shared" si="1"/>
        <v>0.24353999999999998</v>
      </c>
      <c r="H10" s="50">
        <v>121.77</v>
      </c>
    </row>
    <row r="11" spans="1:8" ht="13.5" customHeight="1" x14ac:dyDescent="0.2">
      <c r="A11" s="131" t="s">
        <v>20</v>
      </c>
      <c r="B11" s="132"/>
      <c r="C11" s="133"/>
      <c r="D11" s="8">
        <v>223057</v>
      </c>
      <c r="E11" s="9">
        <v>2</v>
      </c>
      <c r="F11" s="9">
        <f t="shared" si="0"/>
        <v>2</v>
      </c>
      <c r="G11" s="10">
        <f t="shared" si="1"/>
        <v>1.3800000000000002E-2</v>
      </c>
      <c r="H11" s="50">
        <v>6.9</v>
      </c>
    </row>
    <row r="12" spans="1:8" ht="13.7" customHeight="1" x14ac:dyDescent="0.2">
      <c r="A12" s="131" t="s">
        <v>21</v>
      </c>
      <c r="B12" s="132"/>
      <c r="C12" s="133"/>
      <c r="D12" s="8">
        <v>396524</v>
      </c>
      <c r="E12" s="9">
        <v>1</v>
      </c>
      <c r="F12" s="9">
        <f t="shared" si="0"/>
        <v>1</v>
      </c>
      <c r="G12" s="10">
        <f t="shared" si="1"/>
        <v>0.41137999999999997</v>
      </c>
      <c r="H12" s="50">
        <v>411.38</v>
      </c>
    </row>
    <row r="13" spans="1:8" ht="13.7" customHeight="1" x14ac:dyDescent="0.2">
      <c r="A13" s="131" t="s">
        <v>14</v>
      </c>
      <c r="B13" s="220"/>
      <c r="C13" s="221"/>
      <c r="D13" s="8" t="s">
        <v>18</v>
      </c>
      <c r="E13" s="9">
        <v>10</v>
      </c>
      <c r="F13" s="9">
        <f t="shared" si="0"/>
        <v>10</v>
      </c>
      <c r="G13" s="10">
        <f t="shared" si="1"/>
        <v>0.185</v>
      </c>
      <c r="H13" s="50">
        <v>18.5</v>
      </c>
    </row>
    <row r="14" spans="1:8" ht="13.7" customHeight="1" x14ac:dyDescent="0.2">
      <c r="A14" s="131" t="s">
        <v>52</v>
      </c>
      <c r="B14" s="132"/>
      <c r="C14" s="133"/>
      <c r="D14" s="16">
        <v>456227</v>
      </c>
      <c r="E14" s="9">
        <v>50</v>
      </c>
      <c r="F14" s="9">
        <f t="shared" si="0"/>
        <v>50</v>
      </c>
      <c r="G14" s="10">
        <f t="shared" si="1"/>
        <v>3.8450000000000006</v>
      </c>
      <c r="H14" s="50">
        <v>76.900000000000006</v>
      </c>
    </row>
    <row r="15" spans="1:8" ht="13.7" customHeight="1" x14ac:dyDescent="0.2">
      <c r="A15" s="128" t="s">
        <v>53</v>
      </c>
      <c r="B15" s="129"/>
      <c r="C15" s="130"/>
      <c r="D15" s="38"/>
      <c r="E15" s="9">
        <v>-50</v>
      </c>
      <c r="F15" s="9">
        <f t="shared" si="0"/>
        <v>-50</v>
      </c>
      <c r="G15" s="10">
        <f t="shared" si="1"/>
        <v>0</v>
      </c>
      <c r="H15" s="50"/>
    </row>
    <row r="16" spans="1:8" ht="13.7" customHeight="1" x14ac:dyDescent="0.2">
      <c r="A16" s="134"/>
      <c r="B16" s="129"/>
      <c r="C16" s="130"/>
      <c r="D16" s="38"/>
      <c r="E16" s="9"/>
      <c r="F16" s="9">
        <f t="shared" si="0"/>
        <v>0</v>
      </c>
      <c r="G16" s="10">
        <f t="shared" si="1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20">
        <f t="shared" si="0"/>
        <v>0</v>
      </c>
      <c r="G17" s="21">
        <f t="shared" si="1"/>
        <v>0</v>
      </c>
      <c r="H17" s="51"/>
    </row>
    <row r="18" spans="1:8" ht="25.7" customHeight="1" thickBot="1" x14ac:dyDescent="0.25">
      <c r="A18" s="108" t="s">
        <v>22</v>
      </c>
      <c r="B18" s="109"/>
      <c r="C18" s="110"/>
      <c r="D18" s="23"/>
      <c r="E18" s="24">
        <f>SUM(E7:E17)</f>
        <v>350</v>
      </c>
      <c r="F18" s="24">
        <f>SUM(F7:F17)</f>
        <v>350</v>
      </c>
      <c r="G18" s="25" t="s">
        <v>23</v>
      </c>
      <c r="H18" s="81">
        <f>SUM(G7:G17)</f>
        <v>69.823719999999994</v>
      </c>
    </row>
    <row r="19" spans="1:8" ht="51.75" customHeight="1" thickBot="1" x14ac:dyDescent="0.25">
      <c r="A19" s="108" t="s">
        <v>24</v>
      </c>
      <c r="B19" s="109"/>
      <c r="C19" s="110"/>
      <c r="D19" s="27">
        <f>H19/C4</f>
        <v>0.19949634285714285</v>
      </c>
      <c r="E19" s="23"/>
      <c r="F19" s="24"/>
      <c r="G19" s="25" t="s">
        <v>93</v>
      </c>
      <c r="H19" s="81">
        <f>H18/D2</f>
        <v>69.823719999999994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4.1" customHeight="1" thickBot="1" x14ac:dyDescent="0.25">
      <c r="A21" s="217" t="s">
        <v>27</v>
      </c>
      <c r="B21" s="157"/>
      <c r="C21" s="211"/>
      <c r="D21" s="156"/>
      <c r="E21" s="157"/>
      <c r="F21" s="157"/>
      <c r="G21" s="157"/>
      <c r="H21" s="158"/>
    </row>
    <row r="22" spans="1:8" ht="114.75" customHeight="1" thickBot="1" x14ac:dyDescent="0.25">
      <c r="A22" s="216" t="s">
        <v>28</v>
      </c>
      <c r="B22" s="214"/>
      <c r="C22" s="212" t="s">
        <v>104</v>
      </c>
      <c r="D22" s="213"/>
      <c r="E22" s="214"/>
      <c r="F22" s="214"/>
      <c r="G22" s="214"/>
      <c r="H22" s="215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4:C14"/>
    <mergeCell ref="A15:C15"/>
    <mergeCell ref="A16:C16"/>
    <mergeCell ref="A13:C13"/>
    <mergeCell ref="A18:C18"/>
    <mergeCell ref="A20:D20"/>
    <mergeCell ref="C21:H21"/>
    <mergeCell ref="C22:H22"/>
    <mergeCell ref="A22:B22"/>
    <mergeCell ref="A21:B21"/>
    <mergeCell ref="A19:C19"/>
  </mergeCells>
  <pageMargins left="0.7" right="0.7" top="0.78740200000000005" bottom="0.78740200000000005" header="0.3" footer="0.3"/>
  <pageSetup scale="89" orientation="landscape" horizontalDpi="360" verticalDpi="360" r:id="rId1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21"/>
  <sheetViews>
    <sheetView workbookViewId="0">
      <selection activeCell="C20" sqref="C20:H20"/>
    </sheetView>
  </sheetViews>
  <sheetFormatPr defaultColWidth="9" defaultRowHeight="12.75" x14ac:dyDescent="0.2"/>
  <cols>
    <col min="1" max="2" width="10" style="1" customWidth="1"/>
    <col min="3" max="8" width="20" style="1" customWidth="1"/>
    <col min="9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50</v>
      </c>
      <c r="E2" s="153" t="s">
        <v>2</v>
      </c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95" t="s">
        <v>80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E17</f>
        <v>348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47"/>
      <c r="E6" s="139"/>
      <c r="F6" s="140"/>
      <c r="G6" s="30" t="s">
        <v>11</v>
      </c>
      <c r="H6" s="79" t="s">
        <v>12</v>
      </c>
    </row>
    <row r="7" spans="1:8" ht="14.1" customHeight="1" thickBot="1" x14ac:dyDescent="0.25">
      <c r="A7" s="192" t="s">
        <v>81</v>
      </c>
      <c r="B7" s="193"/>
      <c r="C7" s="194"/>
      <c r="D7" s="40" t="s">
        <v>122</v>
      </c>
      <c r="E7" s="33">
        <v>170</v>
      </c>
      <c r="F7" s="34">
        <f t="shared" ref="F7:F16" si="0">E7*$D$2</f>
        <v>8500</v>
      </c>
      <c r="G7" s="35">
        <f t="shared" ref="G7:G16" si="1">(H7/1000)*F7</f>
        <v>1351.5</v>
      </c>
      <c r="H7" s="80">
        <v>159</v>
      </c>
    </row>
    <row r="8" spans="1:8" ht="13.7" customHeight="1" x14ac:dyDescent="0.2">
      <c r="A8" s="196" t="s">
        <v>82</v>
      </c>
      <c r="B8" s="132"/>
      <c r="C8" s="133"/>
      <c r="D8" s="40" t="s">
        <v>122</v>
      </c>
      <c r="E8" s="9">
        <v>130</v>
      </c>
      <c r="F8" s="37">
        <f t="shared" si="0"/>
        <v>6500</v>
      </c>
      <c r="G8" s="10">
        <f t="shared" si="1"/>
        <v>1033.5</v>
      </c>
      <c r="H8" s="50">
        <v>159</v>
      </c>
    </row>
    <row r="9" spans="1:8" ht="13.7" customHeight="1" x14ac:dyDescent="0.2">
      <c r="A9" s="134" t="s">
        <v>37</v>
      </c>
      <c r="B9" s="129"/>
      <c r="C9" s="130"/>
      <c r="D9" s="38" t="s">
        <v>18</v>
      </c>
      <c r="E9" s="9">
        <v>30</v>
      </c>
      <c r="F9" s="37">
        <f t="shared" si="0"/>
        <v>1500</v>
      </c>
      <c r="G9" s="10">
        <f t="shared" si="1"/>
        <v>150</v>
      </c>
      <c r="H9" s="50">
        <v>100</v>
      </c>
    </row>
    <row r="10" spans="1:8" ht="13.7" customHeight="1" x14ac:dyDescent="0.2">
      <c r="A10" s="134" t="s">
        <v>14</v>
      </c>
      <c r="B10" s="129"/>
      <c r="C10" s="130"/>
      <c r="D10" s="38" t="s">
        <v>18</v>
      </c>
      <c r="E10" s="9">
        <v>15</v>
      </c>
      <c r="F10" s="37">
        <f t="shared" si="0"/>
        <v>750</v>
      </c>
      <c r="G10" s="10">
        <f t="shared" si="1"/>
        <v>13.875</v>
      </c>
      <c r="H10" s="50">
        <v>18.5</v>
      </c>
    </row>
    <row r="11" spans="1:8" ht="13.5" customHeight="1" x14ac:dyDescent="0.2">
      <c r="A11" s="134" t="s">
        <v>21</v>
      </c>
      <c r="B11" s="129"/>
      <c r="C11" s="130"/>
      <c r="D11" s="38">
        <v>396524</v>
      </c>
      <c r="E11" s="9">
        <v>1</v>
      </c>
      <c r="F11" s="37">
        <f t="shared" si="0"/>
        <v>50</v>
      </c>
      <c r="G11" s="10">
        <f t="shared" si="1"/>
        <v>20.568999999999999</v>
      </c>
      <c r="H11" s="50">
        <v>411.38</v>
      </c>
    </row>
    <row r="12" spans="1:8" ht="13.7" customHeight="1" x14ac:dyDescent="0.2">
      <c r="A12" s="134" t="s">
        <v>33</v>
      </c>
      <c r="B12" s="129"/>
      <c r="C12" s="130"/>
      <c r="D12" s="38">
        <v>229329</v>
      </c>
      <c r="E12" s="9">
        <v>1</v>
      </c>
      <c r="F12" s="37">
        <f t="shared" si="0"/>
        <v>50</v>
      </c>
      <c r="G12" s="10">
        <f t="shared" si="1"/>
        <v>5.3730000000000002</v>
      </c>
      <c r="H12" s="50">
        <v>107.46</v>
      </c>
    </row>
    <row r="13" spans="1:8" ht="13.7" customHeight="1" x14ac:dyDescent="0.2">
      <c r="A13" s="134" t="s">
        <v>83</v>
      </c>
      <c r="B13" s="129"/>
      <c r="C13" s="130"/>
      <c r="D13" s="38">
        <v>241492</v>
      </c>
      <c r="E13" s="9">
        <v>1</v>
      </c>
      <c r="F13" s="37">
        <f t="shared" si="0"/>
        <v>50</v>
      </c>
      <c r="G13" s="10">
        <f t="shared" si="1"/>
        <v>0.89500000000000002</v>
      </c>
      <c r="H13" s="50">
        <v>17.899999999999999</v>
      </c>
    </row>
    <row r="14" spans="1:8" ht="13.7" customHeight="1" x14ac:dyDescent="0.2">
      <c r="A14" s="134"/>
      <c r="B14" s="129"/>
      <c r="C14" s="130"/>
      <c r="D14" s="38"/>
      <c r="E14" s="9"/>
      <c r="F14" s="37">
        <f t="shared" si="0"/>
        <v>0</v>
      </c>
      <c r="G14" s="10">
        <f t="shared" si="1"/>
        <v>0</v>
      </c>
      <c r="H14" s="50"/>
    </row>
    <row r="15" spans="1:8" ht="13.7" customHeight="1" x14ac:dyDescent="0.2">
      <c r="A15" s="134"/>
      <c r="B15" s="129"/>
      <c r="C15" s="130"/>
      <c r="D15" s="38"/>
      <c r="E15" s="9"/>
      <c r="F15" s="37">
        <f t="shared" si="0"/>
        <v>0</v>
      </c>
      <c r="G15" s="10">
        <f t="shared" si="1"/>
        <v>0</v>
      </c>
      <c r="H15" s="50"/>
    </row>
    <row r="16" spans="1:8" ht="14.1" customHeight="1" thickBot="1" x14ac:dyDescent="0.25">
      <c r="A16" s="122"/>
      <c r="B16" s="123"/>
      <c r="C16" s="124"/>
      <c r="D16" s="18"/>
      <c r="E16" s="20"/>
      <c r="F16" s="19">
        <f t="shared" si="0"/>
        <v>0</v>
      </c>
      <c r="G16" s="21">
        <f t="shared" si="1"/>
        <v>0</v>
      </c>
      <c r="H16" s="51"/>
    </row>
    <row r="17" spans="1:8" ht="25.7" customHeight="1" thickBot="1" x14ac:dyDescent="0.25">
      <c r="A17" s="108" t="s">
        <v>22</v>
      </c>
      <c r="B17" s="109"/>
      <c r="C17" s="110"/>
      <c r="D17" s="23"/>
      <c r="E17" s="24">
        <f>SUM(E7:E16)</f>
        <v>348</v>
      </c>
      <c r="F17" s="24">
        <f>SUM(F7:F16)</f>
        <v>17400</v>
      </c>
      <c r="G17" s="25" t="s">
        <v>23</v>
      </c>
      <c r="H17" s="81">
        <f>SUM(G7:G16)</f>
        <v>2575.712</v>
      </c>
    </row>
    <row r="18" spans="1:8" ht="51.75" customHeight="1" thickBot="1" x14ac:dyDescent="0.25">
      <c r="A18" s="108" t="s">
        <v>24</v>
      </c>
      <c r="B18" s="109"/>
      <c r="C18" s="110"/>
      <c r="D18" s="41">
        <f>H18/C4</f>
        <v>0.14802942528735633</v>
      </c>
      <c r="E18" s="23"/>
      <c r="F18" s="24"/>
      <c r="G18" s="25" t="s">
        <v>93</v>
      </c>
      <c r="H18" s="81">
        <f>H17/D2</f>
        <v>51.514240000000001</v>
      </c>
    </row>
    <row r="19" spans="1:8" ht="14.65" customHeight="1" thickBot="1" x14ac:dyDescent="0.25">
      <c r="A19" s="108" t="s">
        <v>26</v>
      </c>
      <c r="B19" s="109"/>
      <c r="C19" s="109"/>
      <c r="D19" s="111"/>
      <c r="E19" s="23"/>
      <c r="F19" s="24"/>
      <c r="G19" s="28"/>
      <c r="H19" s="82"/>
    </row>
    <row r="20" spans="1:8" ht="14.1" customHeight="1" x14ac:dyDescent="0.2">
      <c r="A20" s="121" t="s">
        <v>27</v>
      </c>
      <c r="B20" s="114"/>
      <c r="C20" s="112" t="s">
        <v>119</v>
      </c>
      <c r="D20" s="113"/>
      <c r="E20" s="114"/>
      <c r="F20" s="114"/>
      <c r="G20" s="114"/>
      <c r="H20" s="115"/>
    </row>
    <row r="21" spans="1:8" ht="121.5" customHeight="1" thickBot="1" x14ac:dyDescent="0.25">
      <c r="A21" s="120" t="s">
        <v>28</v>
      </c>
      <c r="B21" s="118"/>
      <c r="C21" s="116" t="s">
        <v>118</v>
      </c>
      <c r="D21" s="117"/>
      <c r="E21" s="118"/>
      <c r="F21" s="118"/>
      <c r="G21" s="118"/>
      <c r="H21" s="119"/>
    </row>
  </sheetData>
  <mergeCells count="28">
    <mergeCell ref="A19:D19"/>
    <mergeCell ref="A20:B20"/>
    <mergeCell ref="C20:H20"/>
    <mergeCell ref="A21:B21"/>
    <mergeCell ref="C21:H21"/>
    <mergeCell ref="A18:C18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7:C7"/>
    <mergeCell ref="A1:H1"/>
    <mergeCell ref="A2:C2"/>
    <mergeCell ref="E2:H2"/>
    <mergeCell ref="A3:C3"/>
    <mergeCell ref="D3:H3"/>
    <mergeCell ref="A4:B4"/>
    <mergeCell ref="A5:C6"/>
    <mergeCell ref="D5:D6"/>
    <mergeCell ref="E5:E6"/>
    <mergeCell ref="F5:F6"/>
    <mergeCell ref="G5:H5"/>
  </mergeCells>
  <pageMargins left="0.7" right="0.7" top="0.78740157499999996" bottom="0.78740157499999996" header="0.3" footer="0.3"/>
  <pageSetup paperSize="9" scale="95" orientation="landscape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22"/>
  <sheetViews>
    <sheetView showGridLines="0" workbookViewId="0">
      <selection activeCell="C22" sqref="C22:H22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700</v>
      </c>
      <c r="E2" s="171"/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29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135</v>
      </c>
      <c r="D4" s="4"/>
      <c r="E4" s="5"/>
      <c r="F4" s="5"/>
      <c r="G4" s="5"/>
      <c r="H4" s="78"/>
    </row>
    <row r="5" spans="1:8" ht="10.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47"/>
      <c r="E6" s="139"/>
      <c r="F6" s="140"/>
      <c r="G6" s="30" t="s">
        <v>11</v>
      </c>
      <c r="H6" s="79" t="s">
        <v>12</v>
      </c>
    </row>
    <row r="7" spans="1:8" ht="14.1" customHeight="1" x14ac:dyDescent="0.2">
      <c r="A7" s="125" t="s">
        <v>57</v>
      </c>
      <c r="B7" s="126"/>
      <c r="C7" s="127"/>
      <c r="D7" s="32" t="s">
        <v>42</v>
      </c>
      <c r="E7" s="33">
        <v>125</v>
      </c>
      <c r="F7" s="33">
        <f t="shared" ref="F7:F17" si="0">E7*$D$2</f>
        <v>87500</v>
      </c>
      <c r="G7" s="35">
        <f t="shared" ref="G7:G17" si="1">(H7/1000)*F7</f>
        <v>6125.0000000000009</v>
      </c>
      <c r="H7" s="80">
        <v>70</v>
      </c>
    </row>
    <row r="8" spans="1:8" ht="13.5" customHeight="1" x14ac:dyDescent="0.2">
      <c r="A8" s="131" t="s">
        <v>54</v>
      </c>
      <c r="B8" s="132"/>
      <c r="C8" s="133"/>
      <c r="D8" s="76">
        <v>242461</v>
      </c>
      <c r="E8" s="9">
        <v>5</v>
      </c>
      <c r="F8" s="9">
        <f t="shared" si="0"/>
        <v>3500</v>
      </c>
      <c r="G8" s="10">
        <f t="shared" si="1"/>
        <v>140.07</v>
      </c>
      <c r="H8" s="50">
        <v>40.020000000000003</v>
      </c>
    </row>
    <row r="9" spans="1:8" ht="13.7" customHeight="1" x14ac:dyDescent="0.2">
      <c r="A9" s="128" t="s">
        <v>20</v>
      </c>
      <c r="B9" s="129"/>
      <c r="C9" s="130"/>
      <c r="D9" s="8">
        <v>223057</v>
      </c>
      <c r="E9" s="9">
        <v>3</v>
      </c>
      <c r="F9" s="9">
        <f t="shared" si="0"/>
        <v>2100</v>
      </c>
      <c r="G9" s="10">
        <f t="shared" si="1"/>
        <v>14.490000000000002</v>
      </c>
      <c r="H9" s="50">
        <v>6.9</v>
      </c>
    </row>
    <row r="10" spans="1:8" ht="13.7" customHeight="1" x14ac:dyDescent="0.2">
      <c r="A10" s="131" t="s">
        <v>21</v>
      </c>
      <c r="B10" s="132"/>
      <c r="C10" s="133"/>
      <c r="D10" s="8">
        <v>396524</v>
      </c>
      <c r="E10" s="9">
        <v>2</v>
      </c>
      <c r="F10" s="9">
        <f t="shared" si="0"/>
        <v>1400</v>
      </c>
      <c r="G10" s="10">
        <f t="shared" si="1"/>
        <v>575.9319999999999</v>
      </c>
      <c r="H10" s="50">
        <v>411.38</v>
      </c>
    </row>
    <row r="11" spans="1:8" ht="13.7" customHeight="1" x14ac:dyDescent="0.2">
      <c r="A11" s="134"/>
      <c r="B11" s="129"/>
      <c r="C11" s="130"/>
      <c r="D11" s="38"/>
      <c r="E11" s="9"/>
      <c r="F11" s="9">
        <f t="shared" si="0"/>
        <v>0</v>
      </c>
      <c r="G11" s="10">
        <f t="shared" si="1"/>
        <v>0</v>
      </c>
      <c r="H11" s="50"/>
    </row>
    <row r="12" spans="1:8" ht="13.7" customHeight="1" x14ac:dyDescent="0.2">
      <c r="A12" s="134"/>
      <c r="B12" s="129"/>
      <c r="C12" s="130"/>
      <c r="D12" s="38"/>
      <c r="E12" s="9"/>
      <c r="F12" s="9">
        <f t="shared" si="0"/>
        <v>0</v>
      </c>
      <c r="G12" s="10">
        <f t="shared" si="1"/>
        <v>0</v>
      </c>
      <c r="H12" s="50"/>
    </row>
    <row r="13" spans="1:8" ht="13.7" customHeight="1" x14ac:dyDescent="0.2">
      <c r="A13" s="134"/>
      <c r="B13" s="129"/>
      <c r="C13" s="130"/>
      <c r="D13" s="38"/>
      <c r="E13" s="9"/>
      <c r="F13" s="9">
        <f t="shared" si="0"/>
        <v>0</v>
      </c>
      <c r="G13" s="10">
        <f t="shared" si="1"/>
        <v>0</v>
      </c>
      <c r="H13" s="50"/>
    </row>
    <row r="14" spans="1:8" ht="13.7" customHeight="1" x14ac:dyDescent="0.2">
      <c r="A14" s="134"/>
      <c r="B14" s="129"/>
      <c r="C14" s="130"/>
      <c r="D14" s="38"/>
      <c r="E14" s="9"/>
      <c r="F14" s="9">
        <f t="shared" si="0"/>
        <v>0</v>
      </c>
      <c r="G14" s="10">
        <f t="shared" si="1"/>
        <v>0</v>
      </c>
      <c r="H14" s="50"/>
    </row>
    <row r="15" spans="1:8" ht="13.7" customHeight="1" x14ac:dyDescent="0.2">
      <c r="A15" s="134"/>
      <c r="B15" s="129"/>
      <c r="C15" s="130"/>
      <c r="D15" s="38"/>
      <c r="E15" s="9"/>
      <c r="F15" s="9">
        <f t="shared" si="0"/>
        <v>0</v>
      </c>
      <c r="G15" s="10">
        <f t="shared" si="1"/>
        <v>0</v>
      </c>
      <c r="H15" s="50"/>
    </row>
    <row r="16" spans="1:8" ht="13.7" customHeight="1" x14ac:dyDescent="0.2">
      <c r="A16" s="134"/>
      <c r="B16" s="129"/>
      <c r="C16" s="130"/>
      <c r="D16" s="38"/>
      <c r="E16" s="9"/>
      <c r="F16" s="9">
        <f t="shared" si="0"/>
        <v>0</v>
      </c>
      <c r="G16" s="10">
        <f t="shared" si="1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20">
        <f t="shared" si="0"/>
        <v>0</v>
      </c>
      <c r="G17" s="21">
        <f t="shared" si="1"/>
        <v>0</v>
      </c>
      <c r="H17" s="51"/>
    </row>
    <row r="18" spans="1:8" ht="25.7" customHeight="1" thickBot="1" x14ac:dyDescent="0.25">
      <c r="A18" s="108" t="s">
        <v>22</v>
      </c>
      <c r="B18" s="109"/>
      <c r="C18" s="110"/>
      <c r="D18" s="23"/>
      <c r="E18" s="24">
        <f>SUM(E7:E17)</f>
        <v>135</v>
      </c>
      <c r="F18" s="24">
        <f>SUM(F7:F17)</f>
        <v>94500</v>
      </c>
      <c r="G18" s="25" t="s">
        <v>23</v>
      </c>
      <c r="H18" s="81">
        <f>SUM(G7:G17)</f>
        <v>6855.4920000000002</v>
      </c>
    </row>
    <row r="19" spans="1:8" ht="51.75" customHeight="1" thickBot="1" x14ac:dyDescent="0.25">
      <c r="A19" s="108" t="s">
        <v>24</v>
      </c>
      <c r="B19" s="109"/>
      <c r="C19" s="110"/>
      <c r="D19" s="27">
        <f>H19/C4</f>
        <v>7.2544888888888895E-2</v>
      </c>
      <c r="E19" s="23"/>
      <c r="F19" s="24"/>
      <c r="G19" s="25" t="s">
        <v>93</v>
      </c>
      <c r="H19" s="81">
        <f>H18/D2</f>
        <v>9.7935600000000012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4.1" customHeight="1" thickBot="1" x14ac:dyDescent="0.25">
      <c r="A21" s="217" t="s">
        <v>27</v>
      </c>
      <c r="B21" s="157"/>
      <c r="C21" s="211"/>
      <c r="D21" s="156"/>
      <c r="E21" s="157"/>
      <c r="F21" s="157"/>
      <c r="G21" s="157"/>
      <c r="H21" s="158"/>
    </row>
    <row r="22" spans="1:8" ht="153" customHeight="1" thickBot="1" x14ac:dyDescent="0.25">
      <c r="A22" s="216" t="s">
        <v>28</v>
      </c>
      <c r="B22" s="214"/>
      <c r="C22" s="212" t="s">
        <v>120</v>
      </c>
      <c r="D22" s="213"/>
      <c r="E22" s="214"/>
      <c r="F22" s="214"/>
      <c r="G22" s="214"/>
      <c r="H22" s="215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20:D20"/>
    <mergeCell ref="C21:H21"/>
    <mergeCell ref="C22:H22"/>
    <mergeCell ref="A22:B22"/>
    <mergeCell ref="A21:B21"/>
    <mergeCell ref="A19:C19"/>
  </mergeCells>
  <pageMargins left="0.25" right="0.25" top="0.75" bottom="0.75" header="0.3" footer="0.3"/>
  <pageSetup scale="97" orientation="landscape" horizontalDpi="360" verticalDpi="360" r:id="rId1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22"/>
  <sheetViews>
    <sheetView workbookViewId="0">
      <selection activeCell="H16" sqref="H16"/>
    </sheetView>
  </sheetViews>
  <sheetFormatPr defaultColWidth="9" defaultRowHeight="12.75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100</v>
      </c>
      <c r="E2" s="153" t="s">
        <v>2</v>
      </c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95" t="s">
        <v>91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280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88"/>
      <c r="B6" s="189"/>
      <c r="C6" s="190"/>
      <c r="D6" s="191"/>
      <c r="E6" s="186"/>
      <c r="F6" s="187"/>
      <c r="G6" s="57" t="s">
        <v>11</v>
      </c>
      <c r="H6" s="84" t="s">
        <v>12</v>
      </c>
    </row>
    <row r="7" spans="1:8" ht="14.1" customHeight="1" x14ac:dyDescent="0.2">
      <c r="A7" s="222" t="s">
        <v>57</v>
      </c>
      <c r="B7" s="185"/>
      <c r="C7" s="185"/>
      <c r="D7" s="64" t="s">
        <v>42</v>
      </c>
      <c r="E7" s="65">
        <v>100</v>
      </c>
      <c r="F7" s="66">
        <f t="shared" ref="F7:F17" si="0">E7*$D$2</f>
        <v>10000</v>
      </c>
      <c r="G7" s="67">
        <f t="shared" ref="G7:G17" si="1">(H7/1000)*F7</f>
        <v>700.00000000000011</v>
      </c>
      <c r="H7" s="68">
        <v>70</v>
      </c>
    </row>
    <row r="8" spans="1:8" ht="13.7" customHeight="1" x14ac:dyDescent="0.2">
      <c r="A8" s="223" t="s">
        <v>54</v>
      </c>
      <c r="B8" s="175"/>
      <c r="C8" s="175"/>
      <c r="D8" s="75">
        <v>242461</v>
      </c>
      <c r="E8" s="59">
        <v>5</v>
      </c>
      <c r="F8" s="60">
        <f t="shared" si="0"/>
        <v>500</v>
      </c>
      <c r="G8" s="61">
        <f t="shared" si="1"/>
        <v>20.010000000000002</v>
      </c>
      <c r="H8" s="69">
        <v>40.020000000000003</v>
      </c>
    </row>
    <row r="9" spans="1:8" ht="13.7" customHeight="1" x14ac:dyDescent="0.2">
      <c r="A9" s="224" t="s">
        <v>20</v>
      </c>
      <c r="B9" s="173"/>
      <c r="C9" s="173"/>
      <c r="D9" s="62">
        <v>223057</v>
      </c>
      <c r="E9" s="59">
        <v>3</v>
      </c>
      <c r="F9" s="60">
        <f t="shared" si="0"/>
        <v>300</v>
      </c>
      <c r="G9" s="61">
        <f t="shared" si="1"/>
        <v>2.0700000000000003</v>
      </c>
      <c r="H9" s="69">
        <v>6.9</v>
      </c>
    </row>
    <row r="10" spans="1:8" ht="13.7" customHeight="1" x14ac:dyDescent="0.2">
      <c r="A10" s="223" t="s">
        <v>21</v>
      </c>
      <c r="B10" s="175"/>
      <c r="C10" s="175"/>
      <c r="D10" s="62">
        <v>396524</v>
      </c>
      <c r="E10" s="59">
        <v>2</v>
      </c>
      <c r="F10" s="60">
        <f t="shared" si="0"/>
        <v>200</v>
      </c>
      <c r="G10" s="61">
        <f t="shared" si="1"/>
        <v>82.275999999999996</v>
      </c>
      <c r="H10" s="69">
        <v>411.38</v>
      </c>
    </row>
    <row r="11" spans="1:8" ht="13.7" customHeight="1" x14ac:dyDescent="0.2">
      <c r="A11" s="223" t="s">
        <v>47</v>
      </c>
      <c r="B11" s="175"/>
      <c r="C11" s="175"/>
      <c r="D11" s="63">
        <v>405481</v>
      </c>
      <c r="E11" s="59">
        <v>120</v>
      </c>
      <c r="F11" s="60">
        <f t="shared" si="0"/>
        <v>12000</v>
      </c>
      <c r="G11" s="61">
        <f t="shared" si="1"/>
        <v>5148</v>
      </c>
      <c r="H11" s="69">
        <v>429</v>
      </c>
    </row>
    <row r="12" spans="1:8" ht="13.5" customHeight="1" x14ac:dyDescent="0.2">
      <c r="A12" s="223" t="s">
        <v>89</v>
      </c>
      <c r="B12" s="175"/>
      <c r="C12" s="175"/>
      <c r="D12" s="58" t="s">
        <v>90</v>
      </c>
      <c r="E12" s="59">
        <v>10</v>
      </c>
      <c r="F12" s="60">
        <f t="shared" si="0"/>
        <v>1000</v>
      </c>
      <c r="G12" s="61">
        <f t="shared" si="1"/>
        <v>252</v>
      </c>
      <c r="H12" s="69">
        <v>252</v>
      </c>
    </row>
    <row r="13" spans="1:8" ht="13.7" customHeight="1" x14ac:dyDescent="0.2">
      <c r="A13" s="223" t="s">
        <v>38</v>
      </c>
      <c r="B13" s="175"/>
      <c r="C13" s="175"/>
      <c r="D13" s="63">
        <v>208385</v>
      </c>
      <c r="E13" s="59">
        <v>7</v>
      </c>
      <c r="F13" s="60">
        <f t="shared" si="0"/>
        <v>700</v>
      </c>
      <c r="G13" s="61">
        <f t="shared" si="1"/>
        <v>85.23899999999999</v>
      </c>
      <c r="H13" s="69">
        <v>121.77</v>
      </c>
    </row>
    <row r="14" spans="1:8" ht="13.7" customHeight="1" x14ac:dyDescent="0.2">
      <c r="A14" s="224" t="s">
        <v>49</v>
      </c>
      <c r="B14" s="173"/>
      <c r="C14" s="173"/>
      <c r="D14" s="63" t="s">
        <v>18</v>
      </c>
      <c r="E14" s="59">
        <v>25</v>
      </c>
      <c r="F14" s="60">
        <f t="shared" si="0"/>
        <v>2500</v>
      </c>
      <c r="G14" s="61">
        <f t="shared" si="1"/>
        <v>145</v>
      </c>
      <c r="H14" s="69">
        <v>58</v>
      </c>
    </row>
    <row r="15" spans="1:8" ht="13.7" customHeight="1" x14ac:dyDescent="0.2">
      <c r="A15" s="224" t="s">
        <v>20</v>
      </c>
      <c r="B15" s="173"/>
      <c r="C15" s="173"/>
      <c r="D15" s="62">
        <v>223057</v>
      </c>
      <c r="E15" s="59">
        <v>5</v>
      </c>
      <c r="F15" s="60">
        <f t="shared" si="0"/>
        <v>500</v>
      </c>
      <c r="G15" s="61">
        <f t="shared" si="1"/>
        <v>3.45</v>
      </c>
      <c r="H15" s="69">
        <v>6.9</v>
      </c>
    </row>
    <row r="16" spans="1:8" ht="13.7" customHeight="1" x14ac:dyDescent="0.2">
      <c r="A16" s="223" t="s">
        <v>21</v>
      </c>
      <c r="B16" s="175"/>
      <c r="C16" s="175"/>
      <c r="D16" s="62">
        <v>396524</v>
      </c>
      <c r="E16" s="59">
        <v>3</v>
      </c>
      <c r="F16" s="60">
        <f t="shared" si="0"/>
        <v>300</v>
      </c>
      <c r="G16" s="61">
        <f t="shared" si="1"/>
        <v>123.41399999999999</v>
      </c>
      <c r="H16" s="69">
        <v>411.38</v>
      </c>
    </row>
    <row r="17" spans="1:8" ht="14.1" customHeight="1" thickBot="1" x14ac:dyDescent="0.25">
      <c r="A17" s="225"/>
      <c r="B17" s="226"/>
      <c r="C17" s="226"/>
      <c r="D17" s="70"/>
      <c r="E17" s="71"/>
      <c r="F17" s="72">
        <f t="shared" si="0"/>
        <v>0</v>
      </c>
      <c r="G17" s="73">
        <f t="shared" si="1"/>
        <v>0</v>
      </c>
      <c r="H17" s="74"/>
    </row>
    <row r="18" spans="1:8" ht="25.7" customHeight="1" thickBot="1" x14ac:dyDescent="0.25">
      <c r="A18" s="176" t="s">
        <v>22</v>
      </c>
      <c r="B18" s="177"/>
      <c r="C18" s="178"/>
      <c r="D18" s="43"/>
      <c r="E18" s="44">
        <f>SUM(E7:E17)</f>
        <v>280</v>
      </c>
      <c r="F18" s="44">
        <f>SUM(F7:F17)</f>
        <v>28000</v>
      </c>
      <c r="G18" s="45" t="s">
        <v>23</v>
      </c>
      <c r="H18" s="85">
        <f>SUM(G7:G17)</f>
        <v>6561.4589999999989</v>
      </c>
    </row>
    <row r="19" spans="1:8" ht="51.75" customHeight="1" thickBot="1" x14ac:dyDescent="0.25">
      <c r="A19" s="108" t="s">
        <v>24</v>
      </c>
      <c r="B19" s="109"/>
      <c r="C19" s="110"/>
      <c r="D19" s="41">
        <f>H19/C4</f>
        <v>0.2343378214285714</v>
      </c>
      <c r="E19" s="23"/>
      <c r="F19" s="24"/>
      <c r="G19" s="25" t="s">
        <v>93</v>
      </c>
      <c r="H19" s="81">
        <f>H18/D2</f>
        <v>65.614589999999993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4.1" customHeight="1" x14ac:dyDescent="0.2">
      <c r="A21" s="121" t="s">
        <v>27</v>
      </c>
      <c r="B21" s="114"/>
      <c r="C21" s="112"/>
      <c r="D21" s="113"/>
      <c r="E21" s="114"/>
      <c r="F21" s="114"/>
      <c r="G21" s="114"/>
      <c r="H21" s="115"/>
    </row>
    <row r="22" spans="1:8" ht="93.75" customHeight="1" thickBot="1" x14ac:dyDescent="0.25">
      <c r="A22" s="120" t="s">
        <v>28</v>
      </c>
      <c r="B22" s="118"/>
      <c r="C22" s="116" t="s">
        <v>105</v>
      </c>
      <c r="D22" s="117"/>
      <c r="E22" s="118"/>
      <c r="F22" s="118"/>
      <c r="G22" s="118"/>
      <c r="H22" s="119"/>
    </row>
  </sheetData>
  <mergeCells count="29">
    <mergeCell ref="A20:D20"/>
    <mergeCell ref="A21:B21"/>
    <mergeCell ref="C21:H21"/>
    <mergeCell ref="A22:B22"/>
    <mergeCell ref="C22:H22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7:C7"/>
    <mergeCell ref="A1:H1"/>
    <mergeCell ref="A2:C2"/>
    <mergeCell ref="E2:H2"/>
    <mergeCell ref="A3:C3"/>
    <mergeCell ref="D3:H3"/>
    <mergeCell ref="A4:B4"/>
    <mergeCell ref="A5:C6"/>
    <mergeCell ref="D5:D6"/>
    <mergeCell ref="E5:E6"/>
    <mergeCell ref="F5:F6"/>
    <mergeCell ref="G5:H5"/>
  </mergeCells>
  <pageMargins left="0.7" right="0.7" top="0.78740157499999996" bottom="0.78740157499999996" header="0.3" footer="0.3"/>
  <pageSetup paperSize="9" scale="95" orientation="landscape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H22"/>
  <sheetViews>
    <sheetView showGridLines="0" workbookViewId="0">
      <selection activeCell="I19" sqref="I19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700</v>
      </c>
      <c r="E2" s="171"/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30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225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47"/>
      <c r="E6" s="139"/>
      <c r="F6" s="140"/>
      <c r="G6" s="30" t="s">
        <v>11</v>
      </c>
      <c r="H6" s="79" t="s">
        <v>12</v>
      </c>
    </row>
    <row r="7" spans="1:8" ht="14.1" customHeight="1" x14ac:dyDescent="0.2">
      <c r="A7" s="125" t="s">
        <v>58</v>
      </c>
      <c r="B7" s="126"/>
      <c r="C7" s="127"/>
      <c r="D7" s="39" t="s">
        <v>88</v>
      </c>
      <c r="E7" s="33">
        <v>215</v>
      </c>
      <c r="F7" s="33">
        <f t="shared" ref="F7:F17" si="0">E7*$D$2</f>
        <v>150500</v>
      </c>
      <c r="G7" s="35">
        <f t="shared" ref="G7:G17" si="1">(H7/1000)*F7</f>
        <v>16705.5</v>
      </c>
      <c r="H7" s="80">
        <v>111</v>
      </c>
    </row>
    <row r="8" spans="1:8" ht="13.7" customHeight="1" x14ac:dyDescent="0.2">
      <c r="A8" s="128" t="s">
        <v>40</v>
      </c>
      <c r="B8" s="129"/>
      <c r="C8" s="130"/>
      <c r="D8" s="8">
        <v>449603</v>
      </c>
      <c r="E8" s="9">
        <v>4</v>
      </c>
      <c r="F8" s="9">
        <f t="shared" si="0"/>
        <v>2800</v>
      </c>
      <c r="G8" s="10">
        <f t="shared" si="1"/>
        <v>540.76400000000001</v>
      </c>
      <c r="H8" s="50">
        <v>193.13</v>
      </c>
    </row>
    <row r="9" spans="1:8" ht="13.5" customHeight="1" x14ac:dyDescent="0.2">
      <c r="A9" s="128" t="s">
        <v>20</v>
      </c>
      <c r="B9" s="129"/>
      <c r="C9" s="130"/>
      <c r="D9" s="8">
        <v>223057</v>
      </c>
      <c r="E9" s="9">
        <v>3</v>
      </c>
      <c r="F9" s="9">
        <f t="shared" si="0"/>
        <v>2100</v>
      </c>
      <c r="G9" s="10">
        <f t="shared" si="1"/>
        <v>14.490000000000002</v>
      </c>
      <c r="H9" s="50">
        <v>6.9</v>
      </c>
    </row>
    <row r="10" spans="1:8" ht="13.7" customHeight="1" x14ac:dyDescent="0.2">
      <c r="A10" s="131" t="s">
        <v>21</v>
      </c>
      <c r="B10" s="132"/>
      <c r="C10" s="133"/>
      <c r="D10" s="8">
        <v>396524</v>
      </c>
      <c r="E10" s="9">
        <v>3</v>
      </c>
      <c r="F10" s="9">
        <f t="shared" si="0"/>
        <v>2100</v>
      </c>
      <c r="G10" s="10">
        <f t="shared" si="1"/>
        <v>863.89799999999991</v>
      </c>
      <c r="H10" s="50">
        <v>411.38</v>
      </c>
    </row>
    <row r="11" spans="1:8" ht="13.7" customHeight="1" x14ac:dyDescent="0.2">
      <c r="A11" s="134"/>
      <c r="B11" s="129"/>
      <c r="C11" s="130"/>
      <c r="D11" s="38"/>
      <c r="E11" s="9"/>
      <c r="F11" s="9">
        <f t="shared" si="0"/>
        <v>0</v>
      </c>
      <c r="G11" s="10">
        <f t="shared" si="1"/>
        <v>0</v>
      </c>
      <c r="H11" s="50"/>
    </row>
    <row r="12" spans="1:8" ht="13.7" customHeight="1" x14ac:dyDescent="0.2">
      <c r="A12" s="134"/>
      <c r="B12" s="129"/>
      <c r="C12" s="130"/>
      <c r="D12" s="38"/>
      <c r="E12" s="9"/>
      <c r="F12" s="9">
        <f t="shared" si="0"/>
        <v>0</v>
      </c>
      <c r="G12" s="10">
        <f t="shared" si="1"/>
        <v>0</v>
      </c>
      <c r="H12" s="50"/>
    </row>
    <row r="13" spans="1:8" ht="13.7" customHeight="1" x14ac:dyDescent="0.2">
      <c r="A13" s="134"/>
      <c r="B13" s="129"/>
      <c r="C13" s="130"/>
      <c r="D13" s="38"/>
      <c r="E13" s="9"/>
      <c r="F13" s="9">
        <f t="shared" si="0"/>
        <v>0</v>
      </c>
      <c r="G13" s="10">
        <f t="shared" si="1"/>
        <v>0</v>
      </c>
      <c r="H13" s="50"/>
    </row>
    <row r="14" spans="1:8" ht="13.7" customHeight="1" x14ac:dyDescent="0.2">
      <c r="A14" s="134"/>
      <c r="B14" s="129"/>
      <c r="C14" s="130"/>
      <c r="D14" s="38"/>
      <c r="E14" s="9"/>
      <c r="F14" s="9">
        <f t="shared" si="0"/>
        <v>0</v>
      </c>
      <c r="G14" s="10">
        <f t="shared" si="1"/>
        <v>0</v>
      </c>
      <c r="H14" s="50"/>
    </row>
    <row r="15" spans="1:8" ht="13.7" customHeight="1" x14ac:dyDescent="0.2">
      <c r="A15" s="134"/>
      <c r="B15" s="129"/>
      <c r="C15" s="130"/>
      <c r="D15" s="38"/>
      <c r="E15" s="9"/>
      <c r="F15" s="9">
        <f t="shared" si="0"/>
        <v>0</v>
      </c>
      <c r="G15" s="10">
        <f t="shared" si="1"/>
        <v>0</v>
      </c>
      <c r="H15" s="50"/>
    </row>
    <row r="16" spans="1:8" ht="13.7" customHeight="1" x14ac:dyDescent="0.2">
      <c r="A16" s="134"/>
      <c r="B16" s="129"/>
      <c r="C16" s="130"/>
      <c r="D16" s="38"/>
      <c r="E16" s="9"/>
      <c r="F16" s="9">
        <f t="shared" si="0"/>
        <v>0</v>
      </c>
      <c r="G16" s="10">
        <f t="shared" si="1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20">
        <f t="shared" si="0"/>
        <v>0</v>
      </c>
      <c r="G17" s="21">
        <f t="shared" si="1"/>
        <v>0</v>
      </c>
      <c r="H17" s="51"/>
    </row>
    <row r="18" spans="1:8" ht="25.7" customHeight="1" thickBot="1" x14ac:dyDescent="0.25">
      <c r="A18" s="108" t="s">
        <v>22</v>
      </c>
      <c r="B18" s="109"/>
      <c r="C18" s="110"/>
      <c r="D18" s="23"/>
      <c r="E18" s="24">
        <f>SUM(E7:E17)</f>
        <v>225</v>
      </c>
      <c r="F18" s="24">
        <f>SUM(F7:F17)</f>
        <v>157500</v>
      </c>
      <c r="G18" s="25" t="s">
        <v>23</v>
      </c>
      <c r="H18" s="81">
        <f>SUM(G7:G17)</f>
        <v>18124.652000000002</v>
      </c>
    </row>
    <row r="19" spans="1:8" ht="51.75" customHeight="1" thickBot="1" x14ac:dyDescent="0.25">
      <c r="A19" s="108" t="s">
        <v>24</v>
      </c>
      <c r="B19" s="109"/>
      <c r="C19" s="110"/>
      <c r="D19" s="27">
        <f>H19/C4</f>
        <v>0.11507715555555557</v>
      </c>
      <c r="E19" s="23"/>
      <c r="F19" s="24"/>
      <c r="G19" s="25" t="s">
        <v>93</v>
      </c>
      <c r="H19" s="81">
        <f>H18/D2</f>
        <v>25.892360000000004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4.1" customHeight="1" thickBot="1" x14ac:dyDescent="0.25">
      <c r="A21" s="217" t="s">
        <v>27</v>
      </c>
      <c r="B21" s="157"/>
      <c r="C21" s="211"/>
      <c r="D21" s="156"/>
      <c r="E21" s="157"/>
      <c r="F21" s="157"/>
      <c r="G21" s="157"/>
      <c r="H21" s="158"/>
    </row>
    <row r="22" spans="1:8" ht="113.25" customHeight="1" thickBot="1" x14ac:dyDescent="0.25">
      <c r="A22" s="216" t="s">
        <v>28</v>
      </c>
      <c r="B22" s="214"/>
      <c r="C22" s="212" t="s">
        <v>106</v>
      </c>
      <c r="D22" s="213"/>
      <c r="E22" s="214"/>
      <c r="F22" s="214"/>
      <c r="G22" s="214"/>
      <c r="H22" s="215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20:D20"/>
    <mergeCell ref="C21:H21"/>
    <mergeCell ref="C22:H22"/>
    <mergeCell ref="A22:B22"/>
    <mergeCell ref="A21:B21"/>
    <mergeCell ref="A19:C19"/>
  </mergeCells>
  <pageMargins left="0.7" right="0.7" top="0.78740200000000005" bottom="0.78740200000000005" header="0.3" footer="0.3"/>
  <pageSetup scale="89" fitToHeight="0" orientation="landscape" horizontalDpi="360" verticalDpi="360" r:id="rId1"/>
  <headerFooter>
    <oddFooter>&amp;C&amp;"Helvetica Neue,Regular"&amp;12&amp;K000000&amp;P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H22"/>
  <sheetViews>
    <sheetView showGridLines="0" workbookViewId="0">
      <selection activeCell="F16" sqref="F16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700</v>
      </c>
      <c r="E2" s="171"/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31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160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47"/>
      <c r="E6" s="139"/>
      <c r="F6" s="140"/>
      <c r="G6" s="30" t="s">
        <v>11</v>
      </c>
      <c r="H6" s="79" t="s">
        <v>12</v>
      </c>
    </row>
    <row r="7" spans="1:8" ht="14.1" customHeight="1" x14ac:dyDescent="0.2">
      <c r="A7" s="125" t="s">
        <v>31</v>
      </c>
      <c r="B7" s="126"/>
      <c r="C7" s="127"/>
      <c r="D7" s="32" t="s">
        <v>42</v>
      </c>
      <c r="E7" s="33">
        <v>150</v>
      </c>
      <c r="F7" s="33">
        <f t="shared" ref="F7:F17" si="0">E7*$D$2</f>
        <v>105000</v>
      </c>
      <c r="G7" s="35">
        <f t="shared" ref="G7:G17" si="1">(H7/1000)*F7</f>
        <v>14595.000000000002</v>
      </c>
      <c r="H7" s="80">
        <v>139</v>
      </c>
    </row>
    <row r="8" spans="1:8" ht="13.5" customHeight="1" x14ac:dyDescent="0.2">
      <c r="A8" s="128" t="s">
        <v>59</v>
      </c>
      <c r="B8" s="129"/>
      <c r="C8" s="130"/>
      <c r="D8" s="16">
        <v>381228</v>
      </c>
      <c r="E8" s="9">
        <v>4</v>
      </c>
      <c r="F8" s="9">
        <f t="shared" si="0"/>
        <v>2800</v>
      </c>
      <c r="G8" s="10">
        <f t="shared" si="1"/>
        <v>1145.8440000000001</v>
      </c>
      <c r="H8" s="50">
        <v>409.23</v>
      </c>
    </row>
    <row r="9" spans="1:8" ht="13.5" customHeight="1" x14ac:dyDescent="0.2">
      <c r="A9" s="128" t="s">
        <v>60</v>
      </c>
      <c r="B9" s="129"/>
      <c r="C9" s="130"/>
      <c r="D9" s="16">
        <v>392051</v>
      </c>
      <c r="E9" s="9">
        <v>2</v>
      </c>
      <c r="F9" s="9">
        <f t="shared" si="0"/>
        <v>1400</v>
      </c>
      <c r="G9" s="10">
        <f t="shared" si="1"/>
        <v>893.2</v>
      </c>
      <c r="H9" s="50">
        <v>638</v>
      </c>
    </row>
    <row r="10" spans="1:8" ht="13.7" customHeight="1" x14ac:dyDescent="0.2">
      <c r="A10" s="128" t="s">
        <v>61</v>
      </c>
      <c r="B10" s="129"/>
      <c r="C10" s="130"/>
      <c r="D10" s="16">
        <v>396525</v>
      </c>
      <c r="E10" s="9">
        <v>4</v>
      </c>
      <c r="F10" s="9">
        <f t="shared" si="0"/>
        <v>2800</v>
      </c>
      <c r="G10" s="10">
        <f t="shared" si="1"/>
        <v>994.89599999999996</v>
      </c>
      <c r="H10" s="50">
        <v>355.32</v>
      </c>
    </row>
    <row r="11" spans="1:8" ht="13.7" customHeight="1" x14ac:dyDescent="0.2">
      <c r="A11" s="134"/>
      <c r="B11" s="129"/>
      <c r="C11" s="130"/>
      <c r="D11" s="38"/>
      <c r="E11" s="9"/>
      <c r="F11" s="9">
        <f t="shared" si="0"/>
        <v>0</v>
      </c>
      <c r="G11" s="10">
        <f t="shared" si="1"/>
        <v>0</v>
      </c>
      <c r="H11" s="50"/>
    </row>
    <row r="12" spans="1:8" ht="13.7" customHeight="1" x14ac:dyDescent="0.2">
      <c r="A12" s="134"/>
      <c r="B12" s="129"/>
      <c r="C12" s="130"/>
      <c r="D12" s="38"/>
      <c r="E12" s="9"/>
      <c r="F12" s="9">
        <f t="shared" si="0"/>
        <v>0</v>
      </c>
      <c r="G12" s="10">
        <f t="shared" si="1"/>
        <v>0</v>
      </c>
      <c r="H12" s="50"/>
    </row>
    <row r="13" spans="1:8" ht="13.7" customHeight="1" x14ac:dyDescent="0.2">
      <c r="A13" s="134"/>
      <c r="B13" s="129"/>
      <c r="C13" s="130"/>
      <c r="D13" s="38"/>
      <c r="E13" s="9"/>
      <c r="F13" s="9">
        <f t="shared" si="0"/>
        <v>0</v>
      </c>
      <c r="G13" s="10">
        <f t="shared" si="1"/>
        <v>0</v>
      </c>
      <c r="H13" s="50"/>
    </row>
    <row r="14" spans="1:8" ht="13.7" customHeight="1" x14ac:dyDescent="0.2">
      <c r="A14" s="134"/>
      <c r="B14" s="129"/>
      <c r="C14" s="130"/>
      <c r="D14" s="38"/>
      <c r="E14" s="9"/>
      <c r="F14" s="9">
        <f t="shared" si="0"/>
        <v>0</v>
      </c>
      <c r="G14" s="10">
        <f t="shared" si="1"/>
        <v>0</v>
      </c>
      <c r="H14" s="50"/>
    </row>
    <row r="15" spans="1:8" ht="13.7" customHeight="1" x14ac:dyDescent="0.2">
      <c r="A15" s="134"/>
      <c r="B15" s="129"/>
      <c r="C15" s="130"/>
      <c r="D15" s="38"/>
      <c r="E15" s="9"/>
      <c r="F15" s="9">
        <f t="shared" si="0"/>
        <v>0</v>
      </c>
      <c r="G15" s="10">
        <f t="shared" si="1"/>
        <v>0</v>
      </c>
      <c r="H15" s="50"/>
    </row>
    <row r="16" spans="1:8" ht="13.7" customHeight="1" x14ac:dyDescent="0.2">
      <c r="A16" s="134"/>
      <c r="B16" s="129"/>
      <c r="C16" s="130"/>
      <c r="D16" s="38"/>
      <c r="E16" s="9"/>
      <c r="F16" s="9">
        <f t="shared" si="0"/>
        <v>0</v>
      </c>
      <c r="G16" s="10">
        <f t="shared" si="1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20">
        <f t="shared" si="0"/>
        <v>0</v>
      </c>
      <c r="G17" s="21">
        <f t="shared" si="1"/>
        <v>0</v>
      </c>
      <c r="H17" s="51"/>
    </row>
    <row r="18" spans="1:8" ht="25.7" customHeight="1" thickBot="1" x14ac:dyDescent="0.25">
      <c r="A18" s="108" t="s">
        <v>22</v>
      </c>
      <c r="B18" s="109"/>
      <c r="C18" s="110"/>
      <c r="D18" s="23"/>
      <c r="E18" s="24">
        <f>SUM(E7:E17)</f>
        <v>160</v>
      </c>
      <c r="F18" s="24">
        <f>SUM(F7:F17)</f>
        <v>112000</v>
      </c>
      <c r="G18" s="25" t="s">
        <v>23</v>
      </c>
      <c r="H18" s="81">
        <f>SUM(G7:G17)</f>
        <v>17628.940000000002</v>
      </c>
    </row>
    <row r="19" spans="1:8" ht="51.75" customHeight="1" thickBot="1" x14ac:dyDescent="0.25">
      <c r="A19" s="108" t="s">
        <v>24</v>
      </c>
      <c r="B19" s="109"/>
      <c r="C19" s="110"/>
      <c r="D19" s="27">
        <f>H19/C4</f>
        <v>0.15740125000000002</v>
      </c>
      <c r="E19" s="23"/>
      <c r="F19" s="24"/>
      <c r="G19" s="25" t="s">
        <v>93</v>
      </c>
      <c r="H19" s="81">
        <f>H18/D2</f>
        <v>25.184200000000004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4.1" customHeight="1" x14ac:dyDescent="0.2">
      <c r="A21" s="121" t="s">
        <v>27</v>
      </c>
      <c r="B21" s="114"/>
      <c r="C21" s="112"/>
      <c r="D21" s="113"/>
      <c r="E21" s="114"/>
      <c r="F21" s="114"/>
      <c r="G21" s="114"/>
      <c r="H21" s="115"/>
    </row>
    <row r="22" spans="1:8" ht="133.5" customHeight="1" thickBot="1" x14ac:dyDescent="0.25">
      <c r="A22" s="120" t="s">
        <v>28</v>
      </c>
      <c r="B22" s="118"/>
      <c r="C22" s="116" t="s">
        <v>107</v>
      </c>
      <c r="D22" s="117"/>
      <c r="E22" s="118"/>
      <c r="F22" s="118"/>
      <c r="G22" s="118"/>
      <c r="H22" s="119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20:D20"/>
    <mergeCell ref="C21:H21"/>
    <mergeCell ref="C22:H22"/>
    <mergeCell ref="A22:B22"/>
    <mergeCell ref="A21:B21"/>
    <mergeCell ref="A19:C19"/>
  </mergeCells>
  <pageMargins left="0.7" right="0.7" top="0.78740200000000005" bottom="0.78740200000000005" header="0.3" footer="0.3"/>
  <pageSetup scale="89" fitToHeight="0" orientation="landscape" horizontalDpi="360" verticalDpi="360" r:id="rId1"/>
  <headerFooter>
    <oddFooter>&amp;C&amp;"Helvetica Neue,Regular"&amp;12&amp;K000000&amp;P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H22"/>
  <sheetViews>
    <sheetView showGridLines="0" workbookViewId="0">
      <selection activeCell="H7" sqref="H7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1</v>
      </c>
      <c r="E2" s="171"/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79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160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47"/>
      <c r="E6" s="139"/>
      <c r="F6" s="140"/>
      <c r="G6" s="30" t="s">
        <v>11</v>
      </c>
      <c r="H6" s="79" t="s">
        <v>12</v>
      </c>
    </row>
    <row r="7" spans="1:8" ht="14.1" customHeight="1" x14ac:dyDescent="0.2">
      <c r="A7" s="125" t="s">
        <v>62</v>
      </c>
      <c r="B7" s="126"/>
      <c r="C7" s="127"/>
      <c r="D7" s="32" t="s">
        <v>18</v>
      </c>
      <c r="E7" s="33">
        <v>120</v>
      </c>
      <c r="F7" s="33">
        <f t="shared" ref="F7:F17" si="0">E7*$D$2</f>
        <v>120</v>
      </c>
      <c r="G7" s="35">
        <f t="shared" ref="G7:G17" si="1">(H7/1000)*F7</f>
        <v>2.34</v>
      </c>
      <c r="H7" s="80">
        <v>19.5</v>
      </c>
    </row>
    <row r="8" spans="1:8" ht="13.7" customHeight="1" x14ac:dyDescent="0.2">
      <c r="A8" s="128" t="s">
        <v>63</v>
      </c>
      <c r="B8" s="129"/>
      <c r="C8" s="130"/>
      <c r="D8" s="16" t="s">
        <v>18</v>
      </c>
      <c r="E8" s="9">
        <v>30</v>
      </c>
      <c r="F8" s="9">
        <f t="shared" si="0"/>
        <v>30</v>
      </c>
      <c r="G8" s="10">
        <f t="shared" si="1"/>
        <v>0.65999999999999992</v>
      </c>
      <c r="H8" s="50">
        <v>22</v>
      </c>
    </row>
    <row r="9" spans="1:8" ht="13.7" customHeight="1" x14ac:dyDescent="0.2">
      <c r="A9" s="131" t="s">
        <v>38</v>
      </c>
      <c r="B9" s="132"/>
      <c r="C9" s="133"/>
      <c r="D9" s="16">
        <v>208385</v>
      </c>
      <c r="E9" s="9">
        <v>3</v>
      </c>
      <c r="F9" s="9">
        <f t="shared" si="0"/>
        <v>3</v>
      </c>
      <c r="G9" s="10">
        <f t="shared" si="1"/>
        <v>0.36530999999999997</v>
      </c>
      <c r="H9" s="50">
        <v>121.77</v>
      </c>
    </row>
    <row r="10" spans="1:8" ht="13.7" customHeight="1" x14ac:dyDescent="0.2">
      <c r="A10" s="128" t="s">
        <v>64</v>
      </c>
      <c r="B10" s="129"/>
      <c r="C10" s="130"/>
      <c r="D10" s="16">
        <v>209040</v>
      </c>
      <c r="E10" s="9">
        <v>3</v>
      </c>
      <c r="F10" s="9">
        <f t="shared" si="0"/>
        <v>3</v>
      </c>
      <c r="G10" s="10">
        <f t="shared" si="1"/>
        <v>3.8640000000000001E-2</v>
      </c>
      <c r="H10" s="50">
        <v>12.88</v>
      </c>
    </row>
    <row r="11" spans="1:8" ht="13.5" customHeight="1" x14ac:dyDescent="0.2">
      <c r="A11" s="128" t="s">
        <v>65</v>
      </c>
      <c r="B11" s="129"/>
      <c r="C11" s="130"/>
      <c r="D11" s="16">
        <v>49113</v>
      </c>
      <c r="E11" s="9">
        <v>2</v>
      </c>
      <c r="F11" s="9">
        <f t="shared" si="0"/>
        <v>2</v>
      </c>
      <c r="G11" s="10">
        <f t="shared" si="1"/>
        <v>3.1879999999999999E-2</v>
      </c>
      <c r="H11" s="50">
        <v>15.94</v>
      </c>
    </row>
    <row r="12" spans="1:8" ht="13.7" customHeight="1" x14ac:dyDescent="0.2">
      <c r="A12" s="128" t="s">
        <v>20</v>
      </c>
      <c r="B12" s="129"/>
      <c r="C12" s="130"/>
      <c r="D12" s="8">
        <v>223057</v>
      </c>
      <c r="E12" s="9">
        <v>2</v>
      </c>
      <c r="F12" s="9">
        <f t="shared" si="0"/>
        <v>2</v>
      </c>
      <c r="G12" s="10">
        <f t="shared" si="1"/>
        <v>1.3800000000000002E-2</v>
      </c>
      <c r="H12" s="50">
        <v>6.9</v>
      </c>
    </row>
    <row r="13" spans="1:8" ht="13.7" customHeight="1" x14ac:dyDescent="0.2">
      <c r="A13" s="134"/>
      <c r="B13" s="129"/>
      <c r="C13" s="130"/>
      <c r="D13" s="38"/>
      <c r="E13" s="9"/>
      <c r="F13" s="9">
        <f t="shared" si="0"/>
        <v>0</v>
      </c>
      <c r="G13" s="10">
        <f t="shared" si="1"/>
        <v>0</v>
      </c>
      <c r="H13" s="50"/>
    </row>
    <row r="14" spans="1:8" ht="13.7" customHeight="1" x14ac:dyDescent="0.2">
      <c r="A14" s="134"/>
      <c r="B14" s="129"/>
      <c r="C14" s="130"/>
      <c r="D14" s="38"/>
      <c r="E14" s="9"/>
      <c r="F14" s="9">
        <f t="shared" si="0"/>
        <v>0</v>
      </c>
      <c r="G14" s="10">
        <f t="shared" si="1"/>
        <v>0</v>
      </c>
      <c r="H14" s="50"/>
    </row>
    <row r="15" spans="1:8" ht="13.7" customHeight="1" x14ac:dyDescent="0.2">
      <c r="A15" s="134"/>
      <c r="B15" s="129"/>
      <c r="C15" s="130"/>
      <c r="D15" s="38"/>
      <c r="E15" s="9"/>
      <c r="F15" s="9">
        <f t="shared" si="0"/>
        <v>0</v>
      </c>
      <c r="G15" s="10">
        <f t="shared" si="1"/>
        <v>0</v>
      </c>
      <c r="H15" s="50"/>
    </row>
    <row r="16" spans="1:8" ht="13.7" customHeight="1" x14ac:dyDescent="0.2">
      <c r="A16" s="134"/>
      <c r="B16" s="129"/>
      <c r="C16" s="130"/>
      <c r="D16" s="38"/>
      <c r="E16" s="9"/>
      <c r="F16" s="9">
        <f t="shared" si="0"/>
        <v>0</v>
      </c>
      <c r="G16" s="10">
        <f t="shared" si="1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20">
        <f t="shared" si="0"/>
        <v>0</v>
      </c>
      <c r="G17" s="21">
        <f t="shared" si="1"/>
        <v>0</v>
      </c>
      <c r="H17" s="51"/>
    </row>
    <row r="18" spans="1:8" ht="25.7" customHeight="1" thickBot="1" x14ac:dyDescent="0.25">
      <c r="A18" s="108" t="s">
        <v>22</v>
      </c>
      <c r="B18" s="109"/>
      <c r="C18" s="110"/>
      <c r="D18" s="23"/>
      <c r="E18" s="24">
        <f>SUM(E7:E17)</f>
        <v>160</v>
      </c>
      <c r="F18" s="24">
        <f>SUM(F7:F17)</f>
        <v>160</v>
      </c>
      <c r="G18" s="25" t="s">
        <v>23</v>
      </c>
      <c r="H18" s="81">
        <f>SUM(G7:G17)</f>
        <v>3.44963</v>
      </c>
    </row>
    <row r="19" spans="1:8" ht="51.75" customHeight="1" thickBot="1" x14ac:dyDescent="0.25">
      <c r="A19" s="108" t="s">
        <v>24</v>
      </c>
      <c r="B19" s="109"/>
      <c r="C19" s="110"/>
      <c r="D19" s="27">
        <f>H19/C4</f>
        <v>2.1560187500000001E-2</v>
      </c>
      <c r="E19" s="23"/>
      <c r="F19" s="24"/>
      <c r="G19" s="25" t="s">
        <v>93</v>
      </c>
      <c r="H19" s="81">
        <f>H18/D2</f>
        <v>3.44963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4.1" customHeight="1" x14ac:dyDescent="0.2">
      <c r="A21" s="121" t="s">
        <v>27</v>
      </c>
      <c r="B21" s="114"/>
      <c r="C21" s="112"/>
      <c r="D21" s="113"/>
      <c r="E21" s="114"/>
      <c r="F21" s="114"/>
      <c r="G21" s="114"/>
      <c r="H21" s="115"/>
    </row>
    <row r="22" spans="1:8" ht="111" customHeight="1" thickBot="1" x14ac:dyDescent="0.25">
      <c r="A22" s="120" t="s">
        <v>28</v>
      </c>
      <c r="B22" s="118"/>
      <c r="C22" s="116" t="s">
        <v>108</v>
      </c>
      <c r="D22" s="117"/>
      <c r="E22" s="118"/>
      <c r="F22" s="118"/>
      <c r="G22" s="118"/>
      <c r="H22" s="119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20:D20"/>
    <mergeCell ref="C21:H21"/>
    <mergeCell ref="C22:H22"/>
    <mergeCell ref="A22:B22"/>
    <mergeCell ref="A21:B21"/>
    <mergeCell ref="A19:C19"/>
  </mergeCells>
  <pageMargins left="0.7" right="0.7" top="0.78740200000000005" bottom="0.78740200000000005" header="0.3" footer="0.3"/>
  <pageSetup scale="89" fitToHeight="0" orientation="landscape" horizontalDpi="360" verticalDpi="360" r:id="rId1"/>
  <headerFooter>
    <oddFooter>&amp;C&amp;"Helvetica Neue,Regular"&amp;12&amp;K000000&amp;P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22"/>
  <sheetViews>
    <sheetView showGridLines="0" workbookViewId="0">
      <selection activeCell="E13" sqref="E13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1</v>
      </c>
      <c r="E2" s="171"/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55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180</v>
      </c>
      <c r="D4" s="4"/>
      <c r="E4" s="5"/>
      <c r="F4" s="5"/>
      <c r="G4" s="5"/>
      <c r="H4" s="78"/>
    </row>
    <row r="5" spans="1:8" ht="12.75" customHeight="1" thickBot="1" x14ac:dyDescent="0.25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234" t="s">
        <v>10</v>
      </c>
      <c r="H5" s="142"/>
    </row>
    <row r="6" spans="1:8" ht="35.25" customHeight="1" thickBot="1" x14ac:dyDescent="0.25">
      <c r="A6" s="188"/>
      <c r="B6" s="189"/>
      <c r="C6" s="190"/>
      <c r="D6" s="191"/>
      <c r="E6" s="186"/>
      <c r="F6" s="233"/>
      <c r="G6" s="56" t="s">
        <v>11</v>
      </c>
      <c r="H6" s="86" t="s">
        <v>12</v>
      </c>
    </row>
    <row r="7" spans="1:8" ht="14.1" customHeight="1" x14ac:dyDescent="0.2">
      <c r="A7" s="230" t="s">
        <v>13</v>
      </c>
      <c r="B7" s="231"/>
      <c r="C7" s="232"/>
      <c r="D7" s="46" t="s">
        <v>18</v>
      </c>
      <c r="E7" s="47">
        <v>170</v>
      </c>
      <c r="F7" s="47">
        <f t="shared" ref="F7:F17" si="0">E7*$D$2</f>
        <v>170</v>
      </c>
      <c r="G7" s="48">
        <f t="shared" ref="G7:G17" si="1">(H7/1000)*F7</f>
        <v>3.4850000000000003</v>
      </c>
      <c r="H7" s="49">
        <v>20.5</v>
      </c>
    </row>
    <row r="8" spans="1:8" ht="13.7" customHeight="1" x14ac:dyDescent="0.2">
      <c r="A8" s="128" t="s">
        <v>54</v>
      </c>
      <c r="B8" s="129"/>
      <c r="C8" s="130"/>
      <c r="D8" s="16">
        <v>242461</v>
      </c>
      <c r="E8" s="9">
        <v>5</v>
      </c>
      <c r="F8" s="9">
        <f t="shared" si="0"/>
        <v>5</v>
      </c>
      <c r="G8" s="10">
        <f t="shared" si="1"/>
        <v>0.2001</v>
      </c>
      <c r="H8" s="50">
        <v>40.020000000000003</v>
      </c>
    </row>
    <row r="9" spans="1:8" ht="13.5" customHeight="1" x14ac:dyDescent="0.2">
      <c r="A9" s="128" t="s">
        <v>33</v>
      </c>
      <c r="B9" s="129"/>
      <c r="C9" s="130"/>
      <c r="D9" s="16">
        <v>229329</v>
      </c>
      <c r="E9" s="9">
        <v>3</v>
      </c>
      <c r="F9" s="9">
        <f t="shared" si="0"/>
        <v>3</v>
      </c>
      <c r="G9" s="10">
        <f t="shared" si="1"/>
        <v>0.32238</v>
      </c>
      <c r="H9" s="50">
        <v>107.46</v>
      </c>
    </row>
    <row r="10" spans="1:8" ht="13.7" customHeight="1" x14ac:dyDescent="0.2">
      <c r="A10" s="128" t="s">
        <v>20</v>
      </c>
      <c r="B10" s="129"/>
      <c r="C10" s="130"/>
      <c r="D10" s="8">
        <v>223057</v>
      </c>
      <c r="E10" s="9">
        <v>2</v>
      </c>
      <c r="F10" s="9">
        <f t="shared" si="0"/>
        <v>2</v>
      </c>
      <c r="G10" s="10">
        <f t="shared" si="1"/>
        <v>1.3800000000000002E-2</v>
      </c>
      <c r="H10" s="50">
        <v>6.9</v>
      </c>
    </row>
    <row r="11" spans="1:8" ht="13.7" customHeight="1" x14ac:dyDescent="0.2">
      <c r="A11" s="134"/>
      <c r="B11" s="129"/>
      <c r="C11" s="130"/>
      <c r="D11" s="38"/>
      <c r="E11" s="9"/>
      <c r="F11" s="9">
        <f t="shared" si="0"/>
        <v>0</v>
      </c>
      <c r="G11" s="10">
        <f t="shared" si="1"/>
        <v>0</v>
      </c>
      <c r="H11" s="50"/>
    </row>
    <row r="12" spans="1:8" ht="13.7" customHeight="1" x14ac:dyDescent="0.2">
      <c r="A12" s="134"/>
      <c r="B12" s="129"/>
      <c r="C12" s="130"/>
      <c r="D12" s="38"/>
      <c r="E12" s="9"/>
      <c r="F12" s="9">
        <f t="shared" si="0"/>
        <v>0</v>
      </c>
      <c r="G12" s="10">
        <f t="shared" si="1"/>
        <v>0</v>
      </c>
      <c r="H12" s="50"/>
    </row>
    <row r="13" spans="1:8" ht="13.7" customHeight="1" x14ac:dyDescent="0.2">
      <c r="A13" s="134"/>
      <c r="B13" s="129"/>
      <c r="C13" s="130"/>
      <c r="D13" s="38"/>
      <c r="E13" s="9"/>
      <c r="F13" s="9">
        <f t="shared" si="0"/>
        <v>0</v>
      </c>
      <c r="G13" s="10">
        <f t="shared" si="1"/>
        <v>0</v>
      </c>
      <c r="H13" s="50"/>
    </row>
    <row r="14" spans="1:8" ht="13.7" customHeight="1" x14ac:dyDescent="0.2">
      <c r="A14" s="134"/>
      <c r="B14" s="129"/>
      <c r="C14" s="130"/>
      <c r="D14" s="38"/>
      <c r="E14" s="9"/>
      <c r="F14" s="9">
        <f t="shared" si="0"/>
        <v>0</v>
      </c>
      <c r="G14" s="10">
        <f t="shared" si="1"/>
        <v>0</v>
      </c>
      <c r="H14" s="50"/>
    </row>
    <row r="15" spans="1:8" ht="13.7" customHeight="1" x14ac:dyDescent="0.2">
      <c r="A15" s="134"/>
      <c r="B15" s="129"/>
      <c r="C15" s="130"/>
      <c r="D15" s="38"/>
      <c r="E15" s="9"/>
      <c r="F15" s="9">
        <f t="shared" si="0"/>
        <v>0</v>
      </c>
      <c r="G15" s="10">
        <f t="shared" si="1"/>
        <v>0</v>
      </c>
      <c r="H15" s="50"/>
    </row>
    <row r="16" spans="1:8" ht="13.7" customHeight="1" x14ac:dyDescent="0.2">
      <c r="A16" s="134"/>
      <c r="B16" s="129"/>
      <c r="C16" s="130"/>
      <c r="D16" s="38"/>
      <c r="E16" s="9"/>
      <c r="F16" s="9">
        <f t="shared" si="0"/>
        <v>0</v>
      </c>
      <c r="G16" s="10">
        <f t="shared" si="1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20">
        <f t="shared" si="0"/>
        <v>0</v>
      </c>
      <c r="G17" s="21">
        <f t="shared" si="1"/>
        <v>0</v>
      </c>
      <c r="H17" s="51"/>
    </row>
    <row r="18" spans="1:8" ht="25.7" customHeight="1" thickBot="1" x14ac:dyDescent="0.25">
      <c r="A18" s="227" t="s">
        <v>22</v>
      </c>
      <c r="B18" s="228"/>
      <c r="C18" s="229"/>
      <c r="D18" s="52"/>
      <c r="E18" s="53">
        <f>SUM(E7:E17)</f>
        <v>180</v>
      </c>
      <c r="F18" s="53">
        <f>SUM(F7:F17)</f>
        <v>180</v>
      </c>
      <c r="G18" s="54" t="s">
        <v>23</v>
      </c>
      <c r="H18" s="55">
        <f>SUM(G7:G17)</f>
        <v>4.02128</v>
      </c>
    </row>
    <row r="19" spans="1:8" ht="51.75" customHeight="1" thickBot="1" x14ac:dyDescent="0.25">
      <c r="A19" s="176" t="s">
        <v>24</v>
      </c>
      <c r="B19" s="177"/>
      <c r="C19" s="178"/>
      <c r="D19" s="42">
        <f>H19/C4</f>
        <v>2.2340444444444444E-2</v>
      </c>
      <c r="E19" s="43"/>
      <c r="F19" s="44"/>
      <c r="G19" s="45" t="s">
        <v>93</v>
      </c>
      <c r="H19" s="85">
        <f>H18/D2</f>
        <v>4.02128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4.1" customHeight="1" x14ac:dyDescent="0.2">
      <c r="A21" s="121" t="s">
        <v>27</v>
      </c>
      <c r="B21" s="114"/>
      <c r="C21" s="112"/>
      <c r="D21" s="113"/>
      <c r="E21" s="114"/>
      <c r="F21" s="114"/>
      <c r="G21" s="114"/>
      <c r="H21" s="115"/>
    </row>
    <row r="22" spans="1:8" ht="92.25" customHeight="1" thickBot="1" x14ac:dyDescent="0.25">
      <c r="A22" s="120" t="s">
        <v>28</v>
      </c>
      <c r="B22" s="118"/>
      <c r="C22" s="116" t="s">
        <v>109</v>
      </c>
      <c r="D22" s="117"/>
      <c r="E22" s="118"/>
      <c r="F22" s="118"/>
      <c r="G22" s="118"/>
      <c r="H22" s="119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20:D20"/>
    <mergeCell ref="C21:H21"/>
    <mergeCell ref="C22:H22"/>
    <mergeCell ref="A22:B22"/>
    <mergeCell ref="A21:B21"/>
    <mergeCell ref="A19:C19"/>
  </mergeCells>
  <pageMargins left="0.7" right="0.7" top="0.78740200000000005" bottom="0.78740200000000005" header="0.3" footer="0.3"/>
  <pageSetup scale="89" fitToHeight="0" orientation="landscape" horizontalDpi="360" verticalDpi="360" r:id="rId1"/>
  <headerFooter>
    <oddFooter>&amp;C&amp;"Helvetica Neue,Regular"&amp;12&amp;K000000&amp;P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H22"/>
  <sheetViews>
    <sheetView showGridLines="0" workbookViewId="0">
      <selection activeCell="C22" sqref="C22:H22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1</v>
      </c>
      <c r="E2" s="171"/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56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292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70"/>
      <c r="E6" s="139"/>
      <c r="F6" s="140"/>
      <c r="G6" s="30" t="s">
        <v>11</v>
      </c>
      <c r="H6" s="79" t="s">
        <v>12</v>
      </c>
    </row>
    <row r="7" spans="1:8" ht="14.1" customHeight="1" x14ac:dyDescent="0.2">
      <c r="A7" s="125" t="s">
        <v>13</v>
      </c>
      <c r="B7" s="126"/>
      <c r="C7" s="127"/>
      <c r="D7" s="16" t="s">
        <v>18</v>
      </c>
      <c r="E7" s="33">
        <v>280</v>
      </c>
      <c r="F7" s="33">
        <f t="shared" ref="F7:F17" si="0">E7*$D$2</f>
        <v>280</v>
      </c>
      <c r="G7" s="35">
        <f t="shared" ref="G7:G17" si="1">(H7/1000)*F7</f>
        <v>5.74</v>
      </c>
      <c r="H7" s="80">
        <v>20.5</v>
      </c>
    </row>
    <row r="8" spans="1:8" ht="13.5" customHeight="1" x14ac:dyDescent="0.2">
      <c r="A8" s="128" t="s">
        <v>14</v>
      </c>
      <c r="B8" s="129"/>
      <c r="C8" s="130"/>
      <c r="D8" s="8" t="s">
        <v>18</v>
      </c>
      <c r="E8" s="9">
        <v>5</v>
      </c>
      <c r="F8" s="9">
        <f t="shared" si="0"/>
        <v>5</v>
      </c>
      <c r="G8" s="10">
        <f t="shared" si="1"/>
        <v>9.2499999999999999E-2</v>
      </c>
      <c r="H8" s="50">
        <v>18.5</v>
      </c>
    </row>
    <row r="9" spans="1:8" ht="13.7" customHeight="1" x14ac:dyDescent="0.2">
      <c r="A9" s="128" t="s">
        <v>54</v>
      </c>
      <c r="B9" s="129"/>
      <c r="C9" s="130"/>
      <c r="D9" s="16">
        <v>242461</v>
      </c>
      <c r="E9" s="9">
        <v>5</v>
      </c>
      <c r="F9" s="9">
        <f t="shared" si="0"/>
        <v>5</v>
      </c>
      <c r="G9" s="10">
        <f t="shared" si="1"/>
        <v>0.2001</v>
      </c>
      <c r="H9" s="50">
        <v>40.020000000000003</v>
      </c>
    </row>
    <row r="10" spans="1:8" ht="13.7" customHeight="1" x14ac:dyDescent="0.2">
      <c r="A10" s="128" t="s">
        <v>20</v>
      </c>
      <c r="B10" s="129"/>
      <c r="C10" s="130"/>
      <c r="D10" s="8">
        <v>223057</v>
      </c>
      <c r="E10" s="9">
        <v>2</v>
      </c>
      <c r="F10" s="9">
        <f t="shared" si="0"/>
        <v>2</v>
      </c>
      <c r="G10" s="10">
        <f t="shared" si="1"/>
        <v>1.3800000000000002E-2</v>
      </c>
      <c r="H10" s="50">
        <v>6.9</v>
      </c>
    </row>
    <row r="11" spans="1:8" ht="13.7" customHeight="1" x14ac:dyDescent="0.2">
      <c r="A11" s="134"/>
      <c r="B11" s="129"/>
      <c r="C11" s="130"/>
      <c r="D11" s="38"/>
      <c r="E11" s="9"/>
      <c r="F11" s="9">
        <f t="shared" si="0"/>
        <v>0</v>
      </c>
      <c r="G11" s="10">
        <f t="shared" si="1"/>
        <v>0</v>
      </c>
      <c r="H11" s="50"/>
    </row>
    <row r="12" spans="1:8" ht="13.7" customHeight="1" x14ac:dyDescent="0.2">
      <c r="A12" s="134"/>
      <c r="B12" s="129"/>
      <c r="C12" s="130"/>
      <c r="D12" s="38"/>
      <c r="E12" s="9"/>
      <c r="F12" s="9">
        <f t="shared" si="0"/>
        <v>0</v>
      </c>
      <c r="G12" s="10">
        <f t="shared" si="1"/>
        <v>0</v>
      </c>
      <c r="H12" s="50"/>
    </row>
    <row r="13" spans="1:8" ht="13.7" customHeight="1" x14ac:dyDescent="0.2">
      <c r="A13" s="134"/>
      <c r="B13" s="129"/>
      <c r="C13" s="130"/>
      <c r="D13" s="38"/>
      <c r="E13" s="9"/>
      <c r="F13" s="9">
        <f t="shared" si="0"/>
        <v>0</v>
      </c>
      <c r="G13" s="10">
        <f t="shared" si="1"/>
        <v>0</v>
      </c>
      <c r="H13" s="50"/>
    </row>
    <row r="14" spans="1:8" ht="13.7" customHeight="1" x14ac:dyDescent="0.2">
      <c r="A14" s="134"/>
      <c r="B14" s="129"/>
      <c r="C14" s="130"/>
      <c r="D14" s="38"/>
      <c r="E14" s="9"/>
      <c r="F14" s="9">
        <f t="shared" si="0"/>
        <v>0</v>
      </c>
      <c r="G14" s="10">
        <f t="shared" si="1"/>
        <v>0</v>
      </c>
      <c r="H14" s="50"/>
    </row>
    <row r="15" spans="1:8" ht="13.7" customHeight="1" x14ac:dyDescent="0.2">
      <c r="A15" s="134"/>
      <c r="B15" s="129"/>
      <c r="C15" s="130"/>
      <c r="D15" s="38"/>
      <c r="E15" s="9"/>
      <c r="F15" s="9">
        <f t="shared" si="0"/>
        <v>0</v>
      </c>
      <c r="G15" s="10">
        <f t="shared" si="1"/>
        <v>0</v>
      </c>
      <c r="H15" s="50"/>
    </row>
    <row r="16" spans="1:8" ht="13.7" customHeight="1" x14ac:dyDescent="0.2">
      <c r="A16" s="134"/>
      <c r="B16" s="129"/>
      <c r="C16" s="130"/>
      <c r="D16" s="38"/>
      <c r="E16" s="9"/>
      <c r="F16" s="9">
        <f t="shared" si="0"/>
        <v>0</v>
      </c>
      <c r="G16" s="10">
        <f t="shared" si="1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20">
        <f t="shared" si="0"/>
        <v>0</v>
      </c>
      <c r="G17" s="21">
        <f t="shared" si="1"/>
        <v>0</v>
      </c>
      <c r="H17" s="51"/>
    </row>
    <row r="18" spans="1:8" ht="25.7" customHeight="1" thickBot="1" x14ac:dyDescent="0.25">
      <c r="A18" s="108" t="s">
        <v>22</v>
      </c>
      <c r="B18" s="109"/>
      <c r="C18" s="110"/>
      <c r="D18" s="23"/>
      <c r="E18" s="24">
        <f>SUM(E7:E17)</f>
        <v>292</v>
      </c>
      <c r="F18" s="24">
        <f>SUM(F7:F17)</f>
        <v>292</v>
      </c>
      <c r="G18" s="25" t="s">
        <v>23</v>
      </c>
      <c r="H18" s="81">
        <f>SUM(G7:G17)</f>
        <v>6.0464000000000002</v>
      </c>
    </row>
    <row r="19" spans="1:8" ht="51.75" customHeight="1" thickBot="1" x14ac:dyDescent="0.25">
      <c r="A19" s="108" t="s">
        <v>24</v>
      </c>
      <c r="B19" s="109"/>
      <c r="C19" s="110"/>
      <c r="D19" s="27">
        <f>H19/C4</f>
        <v>2.0706849315068495E-2</v>
      </c>
      <c r="E19" s="23"/>
      <c r="F19" s="24"/>
      <c r="G19" s="25" t="s">
        <v>93</v>
      </c>
      <c r="H19" s="81">
        <f>H18/D2</f>
        <v>6.0464000000000002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4.1" customHeight="1" x14ac:dyDescent="0.2">
      <c r="A21" s="121" t="s">
        <v>27</v>
      </c>
      <c r="B21" s="114"/>
      <c r="C21" s="112"/>
      <c r="D21" s="113"/>
      <c r="E21" s="114"/>
      <c r="F21" s="114"/>
      <c r="G21" s="114"/>
      <c r="H21" s="115"/>
    </row>
    <row r="22" spans="1:8" ht="102.75" customHeight="1" thickBot="1" x14ac:dyDescent="0.25">
      <c r="A22" s="120" t="s">
        <v>28</v>
      </c>
      <c r="B22" s="118"/>
      <c r="C22" s="116" t="s">
        <v>110</v>
      </c>
      <c r="D22" s="117"/>
      <c r="E22" s="118"/>
      <c r="F22" s="118"/>
      <c r="G22" s="118"/>
      <c r="H22" s="119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20:D20"/>
    <mergeCell ref="C21:H21"/>
    <mergeCell ref="C22:H22"/>
    <mergeCell ref="A22:B22"/>
    <mergeCell ref="A21:B21"/>
    <mergeCell ref="A19:C19"/>
  </mergeCells>
  <pageMargins left="0.7" right="0.7" top="0.78740200000000005" bottom="0.78740200000000005" header="0.3" footer="0.3"/>
  <pageSetup scale="89" fitToHeight="0" orientation="landscape" horizontalDpi="360" verticalDpi="360" r:id="rId1"/>
  <headerFooter>
    <oddFooter>&amp;C&amp;"Helvetica Neue,Regular"&amp;12&amp;K000000&amp;P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H22"/>
  <sheetViews>
    <sheetView showGridLines="0" workbookViewId="0">
      <selection activeCell="E28" sqref="E28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thickBot="1" x14ac:dyDescent="0.25">
      <c r="A1" s="135" t="s">
        <v>0</v>
      </c>
      <c r="B1" s="136"/>
      <c r="C1" s="136"/>
      <c r="D1" s="136"/>
      <c r="E1" s="136"/>
      <c r="F1" s="136"/>
      <c r="G1" s="136"/>
      <c r="H1" s="137"/>
    </row>
    <row r="2" spans="1:8" ht="14.65" customHeight="1" thickBot="1" x14ac:dyDescent="0.25">
      <c r="A2" s="154" t="s">
        <v>1</v>
      </c>
      <c r="B2" s="149"/>
      <c r="C2" s="150"/>
      <c r="D2" s="2">
        <v>500</v>
      </c>
      <c r="E2" s="153" t="s">
        <v>2</v>
      </c>
      <c r="F2" s="149"/>
      <c r="G2" s="149"/>
      <c r="H2" s="152"/>
    </row>
    <row r="3" spans="1:8" ht="19.5" customHeight="1" thickBot="1" x14ac:dyDescent="0.25">
      <c r="A3" s="148" t="s">
        <v>3</v>
      </c>
      <c r="B3" s="149"/>
      <c r="C3" s="150"/>
      <c r="D3" s="151" t="s">
        <v>66</v>
      </c>
      <c r="E3" s="149"/>
      <c r="F3" s="149"/>
      <c r="G3" s="149"/>
      <c r="H3" s="152"/>
    </row>
    <row r="4" spans="1:8" ht="14.65" customHeight="1" thickBot="1" x14ac:dyDescent="0.25">
      <c r="A4" s="108" t="s">
        <v>5</v>
      </c>
      <c r="B4" s="109"/>
      <c r="C4" s="77">
        <f>E18</f>
        <v>212</v>
      </c>
      <c r="D4" s="4"/>
      <c r="E4" s="5"/>
      <c r="F4" s="5"/>
      <c r="G4" s="5"/>
      <c r="H4" s="78"/>
    </row>
    <row r="5" spans="1:8" ht="12.75" customHeight="1" x14ac:dyDescent="0.2">
      <c r="A5" s="121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142"/>
    </row>
    <row r="6" spans="1:8" ht="35.25" customHeight="1" thickBot="1" x14ac:dyDescent="0.25">
      <c r="A6" s="144"/>
      <c r="B6" s="145"/>
      <c r="C6" s="146"/>
      <c r="D6" s="147"/>
      <c r="E6" s="139"/>
      <c r="F6" s="140"/>
      <c r="G6" s="30" t="s">
        <v>11</v>
      </c>
      <c r="H6" s="79" t="s">
        <v>12</v>
      </c>
    </row>
    <row r="7" spans="1:8" ht="14.1" customHeight="1" x14ac:dyDescent="0.2">
      <c r="A7" s="125" t="s">
        <v>67</v>
      </c>
      <c r="B7" s="126"/>
      <c r="C7" s="127"/>
      <c r="D7" s="39">
        <v>228206</v>
      </c>
      <c r="E7" s="33">
        <v>100</v>
      </c>
      <c r="F7" s="34">
        <f t="shared" ref="F7:F17" si="0">E7*$D$2</f>
        <v>50000</v>
      </c>
      <c r="G7" s="35">
        <f t="shared" ref="G7:G17" si="1">(H7/1000)*F7</f>
        <v>1850</v>
      </c>
      <c r="H7" s="80">
        <v>37</v>
      </c>
    </row>
    <row r="8" spans="1:8" ht="13.7" customHeight="1" x14ac:dyDescent="0.2">
      <c r="A8" s="128" t="s">
        <v>68</v>
      </c>
      <c r="B8" s="129"/>
      <c r="C8" s="130"/>
      <c r="D8" s="16" t="s">
        <v>18</v>
      </c>
      <c r="E8" s="9">
        <v>90</v>
      </c>
      <c r="F8" s="37">
        <f t="shared" si="0"/>
        <v>45000</v>
      </c>
      <c r="G8" s="10">
        <f t="shared" si="1"/>
        <v>1619.9999999999998</v>
      </c>
      <c r="H8" s="50">
        <v>36</v>
      </c>
    </row>
    <row r="9" spans="1:8" ht="13.7" customHeight="1" x14ac:dyDescent="0.2">
      <c r="A9" s="128" t="s">
        <v>69</v>
      </c>
      <c r="B9" s="129"/>
      <c r="C9" s="130"/>
      <c r="D9" s="16">
        <v>366634</v>
      </c>
      <c r="E9" s="9">
        <v>5</v>
      </c>
      <c r="F9" s="37">
        <f t="shared" si="0"/>
        <v>2500</v>
      </c>
      <c r="G9" s="10">
        <f t="shared" si="1"/>
        <v>240</v>
      </c>
      <c r="H9" s="50">
        <v>96</v>
      </c>
    </row>
    <row r="10" spans="1:8" ht="13.7" customHeight="1" x14ac:dyDescent="0.2">
      <c r="A10" s="128" t="s">
        <v>65</v>
      </c>
      <c r="B10" s="129"/>
      <c r="C10" s="130"/>
      <c r="D10" s="16">
        <v>49115</v>
      </c>
      <c r="E10" s="9">
        <v>5</v>
      </c>
      <c r="F10" s="37">
        <f t="shared" si="0"/>
        <v>2500</v>
      </c>
      <c r="G10" s="10">
        <f t="shared" si="1"/>
        <v>44.374999999999993</v>
      </c>
      <c r="H10" s="50">
        <v>17.75</v>
      </c>
    </row>
    <row r="11" spans="1:8" ht="13.5" customHeight="1" x14ac:dyDescent="0.2">
      <c r="A11" s="128" t="s">
        <v>70</v>
      </c>
      <c r="B11" s="129"/>
      <c r="C11" s="130"/>
      <c r="D11" s="16">
        <v>49189</v>
      </c>
      <c r="E11" s="9">
        <v>5</v>
      </c>
      <c r="F11" s="37">
        <f t="shared" si="0"/>
        <v>2500</v>
      </c>
      <c r="G11" s="10">
        <f t="shared" si="1"/>
        <v>47.074999999999996</v>
      </c>
      <c r="H11" s="50">
        <v>18.829999999999998</v>
      </c>
    </row>
    <row r="12" spans="1:8" ht="13.7" customHeight="1" x14ac:dyDescent="0.2">
      <c r="A12" s="131" t="s">
        <v>71</v>
      </c>
      <c r="B12" s="132"/>
      <c r="C12" s="133"/>
      <c r="D12" s="16">
        <v>449604</v>
      </c>
      <c r="E12" s="9">
        <v>2</v>
      </c>
      <c r="F12" s="37">
        <f t="shared" si="0"/>
        <v>1000</v>
      </c>
      <c r="G12" s="10">
        <f t="shared" si="1"/>
        <v>373.69</v>
      </c>
      <c r="H12" s="50">
        <v>373.69</v>
      </c>
    </row>
    <row r="13" spans="1:8" ht="13.7" customHeight="1" x14ac:dyDescent="0.2">
      <c r="A13" s="128" t="s">
        <v>72</v>
      </c>
      <c r="B13" s="129"/>
      <c r="C13" s="130"/>
      <c r="D13" s="16">
        <v>167949</v>
      </c>
      <c r="E13" s="9">
        <v>5</v>
      </c>
      <c r="F13" s="37">
        <f t="shared" si="0"/>
        <v>2500</v>
      </c>
      <c r="G13" s="10">
        <f t="shared" si="1"/>
        <v>257.8</v>
      </c>
      <c r="H13" s="50">
        <v>103.12</v>
      </c>
    </row>
    <row r="14" spans="1:8" ht="13.7" customHeight="1" x14ac:dyDescent="0.2">
      <c r="A14" s="134"/>
      <c r="B14" s="129"/>
      <c r="C14" s="130"/>
      <c r="D14" s="38"/>
      <c r="E14" s="9"/>
      <c r="F14" s="37">
        <f t="shared" si="0"/>
        <v>0</v>
      </c>
      <c r="G14" s="10">
        <f t="shared" si="1"/>
        <v>0</v>
      </c>
      <c r="H14" s="50"/>
    </row>
    <row r="15" spans="1:8" ht="13.7" customHeight="1" x14ac:dyDescent="0.2">
      <c r="A15" s="134"/>
      <c r="B15" s="129"/>
      <c r="C15" s="130"/>
      <c r="D15" s="38"/>
      <c r="E15" s="9"/>
      <c r="F15" s="37">
        <f t="shared" si="0"/>
        <v>0</v>
      </c>
      <c r="G15" s="10">
        <f t="shared" si="1"/>
        <v>0</v>
      </c>
      <c r="H15" s="50"/>
    </row>
    <row r="16" spans="1:8" ht="13.7" customHeight="1" x14ac:dyDescent="0.2">
      <c r="A16" s="134"/>
      <c r="B16" s="129"/>
      <c r="C16" s="130"/>
      <c r="D16" s="38"/>
      <c r="E16" s="9"/>
      <c r="F16" s="37">
        <f t="shared" si="0"/>
        <v>0</v>
      </c>
      <c r="G16" s="10">
        <f t="shared" si="1"/>
        <v>0</v>
      </c>
      <c r="H16" s="50"/>
    </row>
    <row r="17" spans="1:8" ht="14.1" customHeight="1" thickBot="1" x14ac:dyDescent="0.25">
      <c r="A17" s="122"/>
      <c r="B17" s="123"/>
      <c r="C17" s="124"/>
      <c r="D17" s="18"/>
      <c r="E17" s="20"/>
      <c r="F17" s="19">
        <f t="shared" si="0"/>
        <v>0</v>
      </c>
      <c r="G17" s="21">
        <f t="shared" si="1"/>
        <v>0</v>
      </c>
      <c r="H17" s="51"/>
    </row>
    <row r="18" spans="1:8" ht="25.7" customHeight="1" thickBot="1" x14ac:dyDescent="0.25">
      <c r="A18" s="108" t="s">
        <v>22</v>
      </c>
      <c r="B18" s="109"/>
      <c r="C18" s="110"/>
      <c r="D18" s="23"/>
      <c r="E18" s="24">
        <f>SUM(E7:E17)</f>
        <v>212</v>
      </c>
      <c r="F18" s="24">
        <f>SUM(F7:F17)</f>
        <v>106000</v>
      </c>
      <c r="G18" s="25" t="s">
        <v>23</v>
      </c>
      <c r="H18" s="81">
        <f>SUM(G7:G17)</f>
        <v>4432.9399999999996</v>
      </c>
    </row>
    <row r="19" spans="1:8" ht="51.75" customHeight="1" thickBot="1" x14ac:dyDescent="0.25">
      <c r="A19" s="108" t="s">
        <v>24</v>
      </c>
      <c r="B19" s="109"/>
      <c r="C19" s="110"/>
      <c r="D19" s="27">
        <f>H19/C4</f>
        <v>4.1820188679245279E-2</v>
      </c>
      <c r="E19" s="23"/>
      <c r="F19" s="24"/>
      <c r="G19" s="25" t="s">
        <v>93</v>
      </c>
      <c r="H19" s="81">
        <f>H18/D2</f>
        <v>8.8658799999999989</v>
      </c>
    </row>
    <row r="20" spans="1:8" ht="14.65" customHeight="1" thickBot="1" x14ac:dyDescent="0.25">
      <c r="A20" s="108" t="s">
        <v>26</v>
      </c>
      <c r="B20" s="109"/>
      <c r="C20" s="109"/>
      <c r="D20" s="111"/>
      <c r="E20" s="23"/>
      <c r="F20" s="24"/>
      <c r="G20" s="28"/>
      <c r="H20" s="82"/>
    </row>
    <row r="21" spans="1:8" ht="14.1" customHeight="1" x14ac:dyDescent="0.2">
      <c r="A21" s="121" t="s">
        <v>27</v>
      </c>
      <c r="B21" s="114"/>
      <c r="C21" s="112"/>
      <c r="D21" s="113"/>
      <c r="E21" s="114"/>
      <c r="F21" s="114"/>
      <c r="G21" s="114"/>
      <c r="H21" s="115"/>
    </row>
    <row r="22" spans="1:8" ht="84.75" customHeight="1" thickBot="1" x14ac:dyDescent="0.25">
      <c r="A22" s="120" t="s">
        <v>28</v>
      </c>
      <c r="B22" s="118"/>
      <c r="C22" s="116" t="s">
        <v>111</v>
      </c>
      <c r="D22" s="117"/>
      <c r="E22" s="118"/>
      <c r="F22" s="118"/>
      <c r="G22" s="118"/>
      <c r="H22" s="119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20:D20"/>
    <mergeCell ref="C21:H21"/>
    <mergeCell ref="C22:H22"/>
    <mergeCell ref="A22:B22"/>
    <mergeCell ref="A21:B21"/>
    <mergeCell ref="A19:C19"/>
  </mergeCells>
  <pageMargins left="0.7" right="0.7" top="0.78740200000000005" bottom="0.78740200000000005" header="0.3" footer="0.3"/>
  <pageSetup scale="89" fitToHeight="0" orientation="landscape" horizontalDpi="360" verticalDpi="360" r:id="rId1"/>
  <headerFooter>
    <oddFooter>&amp;C&amp;"Helvetica Neue,Regular"&amp;12&amp;K000000&amp;P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2"/>
  <sheetViews>
    <sheetView showGridLines="0" workbookViewId="0">
      <selection activeCell="G29" sqref="G29"/>
    </sheetView>
  </sheetViews>
  <sheetFormatPr defaultColWidth="9" defaultRowHeight="12.75" customHeight="1" x14ac:dyDescent="0.2"/>
  <cols>
    <col min="1" max="2" width="10" style="1" customWidth="1"/>
    <col min="3" max="8" width="20" style="1" customWidth="1"/>
    <col min="9" max="9" width="9" style="1" customWidth="1"/>
    <col min="10" max="16384" width="9" style="1"/>
  </cols>
  <sheetData>
    <row r="1" spans="1:8" ht="25.9" customHeight="1" x14ac:dyDescent="0.2">
      <c r="A1" s="241" t="s">
        <v>0</v>
      </c>
      <c r="B1" s="242"/>
      <c r="C1" s="242"/>
      <c r="D1" s="242"/>
      <c r="E1" s="242"/>
      <c r="F1" s="242"/>
      <c r="G1" s="242"/>
      <c r="H1" s="243"/>
    </row>
    <row r="2" spans="1:8" ht="14.65" customHeight="1" x14ac:dyDescent="0.2">
      <c r="A2" s="248" t="s">
        <v>1</v>
      </c>
      <c r="B2" s="149"/>
      <c r="C2" s="150"/>
      <c r="D2" s="2">
        <v>1</v>
      </c>
      <c r="E2" s="153" t="s">
        <v>2</v>
      </c>
      <c r="F2" s="149"/>
      <c r="G2" s="149"/>
      <c r="H2" s="150"/>
    </row>
    <row r="3" spans="1:8" ht="19.5" customHeight="1" x14ac:dyDescent="0.2">
      <c r="A3" s="246" t="s">
        <v>3</v>
      </c>
      <c r="B3" s="149"/>
      <c r="C3" s="150"/>
      <c r="D3" s="195"/>
      <c r="E3" s="149"/>
      <c r="F3" s="149"/>
      <c r="G3" s="149"/>
      <c r="H3" s="150"/>
    </row>
    <row r="4" spans="1:8" ht="14.65" customHeight="1" x14ac:dyDescent="0.2">
      <c r="A4" s="235" t="s">
        <v>5</v>
      </c>
      <c r="B4" s="247"/>
      <c r="C4" s="3">
        <f>E18</f>
        <v>0</v>
      </c>
      <c r="D4" s="4"/>
      <c r="E4" s="5"/>
      <c r="F4" s="5"/>
      <c r="G4" s="5"/>
      <c r="H4" s="6"/>
    </row>
    <row r="5" spans="1:8" ht="12.75" customHeight="1" x14ac:dyDescent="0.2">
      <c r="A5" s="240" t="s">
        <v>6</v>
      </c>
      <c r="B5" s="112"/>
      <c r="C5" s="143"/>
      <c r="D5" s="138" t="s">
        <v>7</v>
      </c>
      <c r="E5" s="138" t="s">
        <v>8</v>
      </c>
      <c r="F5" s="138" t="s">
        <v>9</v>
      </c>
      <c r="G5" s="141" t="s">
        <v>10</v>
      </c>
      <c r="H5" s="244"/>
    </row>
    <row r="6" spans="1:8" ht="35.25" customHeight="1" x14ac:dyDescent="0.2">
      <c r="A6" s="245"/>
      <c r="B6" s="145"/>
      <c r="C6" s="146"/>
      <c r="D6" s="147"/>
      <c r="E6" s="139"/>
      <c r="F6" s="140"/>
      <c r="G6" s="30" t="s">
        <v>11</v>
      </c>
      <c r="H6" s="31" t="s">
        <v>12</v>
      </c>
    </row>
    <row r="7" spans="1:8" ht="14.1" customHeight="1" x14ac:dyDescent="0.2">
      <c r="A7" s="250"/>
      <c r="B7" s="126"/>
      <c r="C7" s="127"/>
      <c r="D7" s="40"/>
      <c r="E7" s="33"/>
      <c r="F7" s="34">
        <f t="shared" ref="F7:F17" si="0">E7*$D$2</f>
        <v>0</v>
      </c>
      <c r="G7" s="35">
        <f t="shared" ref="G7:G17" si="1">(H7/1000)*F7</f>
        <v>0</v>
      </c>
      <c r="H7" s="36"/>
    </row>
    <row r="8" spans="1:8" ht="13.7" customHeight="1" x14ac:dyDescent="0.2">
      <c r="A8" s="251"/>
      <c r="B8" s="129"/>
      <c r="C8" s="130"/>
      <c r="D8" s="38"/>
      <c r="E8" s="9"/>
      <c r="F8" s="37">
        <f t="shared" si="0"/>
        <v>0</v>
      </c>
      <c r="G8" s="10">
        <f t="shared" si="1"/>
        <v>0</v>
      </c>
      <c r="H8" s="11"/>
    </row>
    <row r="9" spans="1:8" ht="13.7" customHeight="1" x14ac:dyDescent="0.2">
      <c r="A9" s="251"/>
      <c r="B9" s="129"/>
      <c r="C9" s="130"/>
      <c r="D9" s="38"/>
      <c r="E9" s="9"/>
      <c r="F9" s="37">
        <f t="shared" si="0"/>
        <v>0</v>
      </c>
      <c r="G9" s="10">
        <f t="shared" si="1"/>
        <v>0</v>
      </c>
      <c r="H9" s="11"/>
    </row>
    <row r="10" spans="1:8" ht="13.7" customHeight="1" x14ac:dyDescent="0.2">
      <c r="A10" s="251"/>
      <c r="B10" s="129"/>
      <c r="C10" s="130"/>
      <c r="D10" s="38"/>
      <c r="E10" s="9"/>
      <c r="F10" s="37">
        <f t="shared" si="0"/>
        <v>0</v>
      </c>
      <c r="G10" s="10">
        <f t="shared" si="1"/>
        <v>0</v>
      </c>
      <c r="H10" s="11"/>
    </row>
    <row r="11" spans="1:8" ht="13.7" customHeight="1" x14ac:dyDescent="0.2">
      <c r="A11" s="251"/>
      <c r="B11" s="129"/>
      <c r="C11" s="130"/>
      <c r="D11" s="38"/>
      <c r="E11" s="9"/>
      <c r="F11" s="37">
        <f t="shared" si="0"/>
        <v>0</v>
      </c>
      <c r="G11" s="10">
        <f t="shared" si="1"/>
        <v>0</v>
      </c>
      <c r="H11" s="11"/>
    </row>
    <row r="12" spans="1:8" ht="13.7" customHeight="1" x14ac:dyDescent="0.2">
      <c r="A12" s="251"/>
      <c r="B12" s="129"/>
      <c r="C12" s="130"/>
      <c r="D12" s="38"/>
      <c r="E12" s="9"/>
      <c r="F12" s="37">
        <f t="shared" si="0"/>
        <v>0</v>
      </c>
      <c r="G12" s="10">
        <f t="shared" si="1"/>
        <v>0</v>
      </c>
      <c r="H12" s="11"/>
    </row>
    <row r="13" spans="1:8" ht="13.7" customHeight="1" x14ac:dyDescent="0.2">
      <c r="A13" s="251"/>
      <c r="B13" s="129"/>
      <c r="C13" s="130"/>
      <c r="D13" s="38"/>
      <c r="E13" s="9"/>
      <c r="F13" s="37">
        <f t="shared" si="0"/>
        <v>0</v>
      </c>
      <c r="G13" s="10">
        <f t="shared" si="1"/>
        <v>0</v>
      </c>
      <c r="H13" s="11"/>
    </row>
    <row r="14" spans="1:8" ht="13.7" customHeight="1" x14ac:dyDescent="0.2">
      <c r="A14" s="251"/>
      <c r="B14" s="129"/>
      <c r="C14" s="130"/>
      <c r="D14" s="38"/>
      <c r="E14" s="9"/>
      <c r="F14" s="37">
        <f t="shared" si="0"/>
        <v>0</v>
      </c>
      <c r="G14" s="10">
        <f t="shared" si="1"/>
        <v>0</v>
      </c>
      <c r="H14" s="11"/>
    </row>
    <row r="15" spans="1:8" ht="13.7" customHeight="1" x14ac:dyDescent="0.2">
      <c r="A15" s="251"/>
      <c r="B15" s="129"/>
      <c r="C15" s="130"/>
      <c r="D15" s="38"/>
      <c r="E15" s="9"/>
      <c r="F15" s="37">
        <f t="shared" si="0"/>
        <v>0</v>
      </c>
      <c r="G15" s="10">
        <f t="shared" si="1"/>
        <v>0</v>
      </c>
      <c r="H15" s="11"/>
    </row>
    <row r="16" spans="1:8" ht="13.7" customHeight="1" x14ac:dyDescent="0.2">
      <c r="A16" s="251"/>
      <c r="B16" s="129"/>
      <c r="C16" s="130"/>
      <c r="D16" s="38"/>
      <c r="E16" s="9"/>
      <c r="F16" s="37">
        <f t="shared" si="0"/>
        <v>0</v>
      </c>
      <c r="G16" s="10">
        <f t="shared" si="1"/>
        <v>0</v>
      </c>
      <c r="H16" s="11"/>
    </row>
    <row r="17" spans="1:8" ht="14.1" customHeight="1" x14ac:dyDescent="0.2">
      <c r="A17" s="249"/>
      <c r="B17" s="123"/>
      <c r="C17" s="124"/>
      <c r="D17" s="18"/>
      <c r="E17" s="20"/>
      <c r="F17" s="19">
        <f t="shared" si="0"/>
        <v>0</v>
      </c>
      <c r="G17" s="21">
        <f t="shared" si="1"/>
        <v>0</v>
      </c>
      <c r="H17" s="22"/>
    </row>
    <row r="18" spans="1:8" ht="25.7" customHeight="1" x14ac:dyDescent="0.2">
      <c r="A18" s="235" t="s">
        <v>22</v>
      </c>
      <c r="B18" s="109"/>
      <c r="C18" s="110"/>
      <c r="D18" s="23"/>
      <c r="E18" s="24">
        <f>SUM(E7:E17)</f>
        <v>0</v>
      </c>
      <c r="F18" s="24">
        <f>SUM(F7:F17)</f>
        <v>0</v>
      </c>
      <c r="G18" s="25" t="s">
        <v>23</v>
      </c>
      <c r="H18" s="26">
        <f>SUM(G7:G17)</f>
        <v>0</v>
      </c>
    </row>
    <row r="19" spans="1:8" ht="51.75" customHeight="1" x14ac:dyDescent="0.2">
      <c r="A19" s="235" t="s">
        <v>24</v>
      </c>
      <c r="B19" s="109"/>
      <c r="C19" s="110"/>
      <c r="D19" s="41" t="e">
        <f>H19/C4</f>
        <v>#DIV/0!</v>
      </c>
      <c r="E19" s="23"/>
      <c r="F19" s="24"/>
      <c r="G19" s="25" t="s">
        <v>25</v>
      </c>
      <c r="H19" s="26">
        <f>H18/D2</f>
        <v>0</v>
      </c>
    </row>
    <row r="20" spans="1:8" ht="14.65" customHeight="1" x14ac:dyDescent="0.2">
      <c r="A20" s="235" t="s">
        <v>26</v>
      </c>
      <c r="B20" s="109"/>
      <c r="C20" s="109"/>
      <c r="D20" s="111"/>
      <c r="E20" s="23"/>
      <c r="F20" s="24"/>
      <c r="G20" s="28"/>
      <c r="H20" s="29"/>
    </row>
    <row r="21" spans="1:8" ht="14.1" customHeight="1" x14ac:dyDescent="0.2">
      <c r="A21" s="240" t="s">
        <v>27</v>
      </c>
      <c r="B21" s="114"/>
      <c r="C21" s="112"/>
      <c r="D21" s="113"/>
      <c r="E21" s="114"/>
      <c r="F21" s="114"/>
      <c r="G21" s="114"/>
      <c r="H21" s="236"/>
    </row>
    <row r="22" spans="1:8" ht="15.2" customHeight="1" x14ac:dyDescent="0.2">
      <c r="A22" s="239" t="s">
        <v>28</v>
      </c>
      <c r="B22" s="162"/>
      <c r="C22" s="237"/>
      <c r="D22" s="161"/>
      <c r="E22" s="162"/>
      <c r="F22" s="162"/>
      <c r="G22" s="162"/>
      <c r="H22" s="238"/>
    </row>
  </sheetData>
  <mergeCells count="29">
    <mergeCell ref="A1:H1"/>
    <mergeCell ref="E5:E6"/>
    <mergeCell ref="F5:F6"/>
    <mergeCell ref="G5:H5"/>
    <mergeCell ref="A5:C6"/>
    <mergeCell ref="D5:D6"/>
    <mergeCell ref="A3:C3"/>
    <mergeCell ref="D3:H3"/>
    <mergeCell ref="E2:H2"/>
    <mergeCell ref="A4:B4"/>
    <mergeCell ref="A2:C2"/>
    <mergeCell ref="A17:C17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A20:D20"/>
    <mergeCell ref="C21:H21"/>
    <mergeCell ref="C22:H22"/>
    <mergeCell ref="A22:B22"/>
    <mergeCell ref="A21:B21"/>
    <mergeCell ref="A19:C19"/>
  </mergeCells>
  <pageMargins left="0.7" right="0.7" top="0.78740200000000005" bottom="0.78740200000000005" header="0.3" footer="0.3"/>
  <pageSetup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19</vt:i4>
      </vt:variant>
    </vt:vector>
  </HeadingPairs>
  <TitlesOfParts>
    <vt:vector size="19" baseType="lpstr">
      <vt:lpstr>Předkrm</vt:lpstr>
      <vt:lpstr>Bramboračka</vt:lpstr>
      <vt:lpstr>Kuře pečené 1_4</vt:lpstr>
      <vt:lpstr>Grilovaná zelenina + Falafel</vt:lpstr>
      <vt:lpstr>Vegetariánské těstoviny</vt:lpstr>
      <vt:lpstr>Pečené kachní stehno</vt:lpstr>
      <vt:lpstr>Vepřové koleno</vt:lpstr>
      <vt:lpstr>Grilovaný losos</vt:lpstr>
      <vt:lpstr>Pstruh v alobalu</vt:lpstr>
      <vt:lpstr>Halal</vt:lpstr>
      <vt:lpstr>Kuřecí palička</vt:lpstr>
      <vt:lpstr>Losos+palička</vt:lpstr>
      <vt:lpstr>Vepřová krkovice</vt:lpstr>
      <vt:lpstr>Uzené</vt:lpstr>
      <vt:lpstr>Zelný salát</vt:lpstr>
      <vt:lpstr>Pečené brambory</vt:lpstr>
      <vt:lpstr>Šťouchané brambory</vt:lpstr>
      <vt:lpstr>Štrůdl</vt:lpstr>
      <vt:lpstr>VZOR TABULKY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event manager</cp:lastModifiedBy>
  <cp:lastPrinted>2025-11-07T10:46:36Z</cp:lastPrinted>
  <dcterms:modified xsi:type="dcterms:W3CDTF">2026-01-13T15:23:44Z</dcterms:modified>
</cp:coreProperties>
</file>